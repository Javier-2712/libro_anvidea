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3.d.fun.filog\"/>
    </mc:Choice>
  </mc:AlternateContent>
  <xr:revisionPtr revIDLastSave="0" documentId="13_ncr:1_{4A5A12B0-30A8-48D1-B703-AC7985EB96B4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mb" sheetId="1" r:id="rId1"/>
    <sheet name="tax" sheetId="2" r:id="rId2"/>
    <sheet name="tax1" sheetId="5" r:id="rId3"/>
    <sheet name="rasgos" sheetId="4" r:id="rId4"/>
    <sheet name="coord" sheetId="3" r:id="rId5"/>
  </sheets>
  <definedNames>
    <definedName name="_xlnm._FilterDatabase" localSheetId="0" hidden="1">amb!$A$1:$AR$1</definedName>
    <definedName name="_xlnm._FilterDatabase" localSheetId="4" hidden="1">coord!$A$1:$G$1</definedName>
    <definedName name="_xlnm._FilterDatabase" localSheetId="1" hidden="1">tax!$A$1:$CK$1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3" i="1" l="1"/>
  <c r="B42" i="1"/>
  <c r="B14" i="1"/>
  <c r="B36" i="1"/>
  <c r="B23" i="1"/>
  <c r="B24" i="1"/>
  <c r="B39" i="1"/>
  <c r="B40" i="1"/>
  <c r="B25" i="1"/>
  <c r="B41" i="1"/>
  <c r="B26" i="1"/>
  <c r="B2" i="1"/>
  <c r="B3" i="1"/>
  <c r="B4" i="1"/>
  <c r="B5" i="1"/>
  <c r="B27" i="1"/>
  <c r="B28" i="1"/>
  <c r="B6" i="1"/>
  <c r="B7" i="1"/>
  <c r="B29" i="1"/>
  <c r="B9" i="1"/>
  <c r="B30" i="1"/>
  <c r="B31" i="1"/>
  <c r="B32" i="1"/>
  <c r="B10" i="1"/>
  <c r="B11" i="1"/>
  <c r="B33" i="1"/>
  <c r="B12" i="1"/>
  <c r="B13" i="1"/>
  <c r="B15" i="1"/>
  <c r="B16" i="1"/>
  <c r="B17" i="1"/>
  <c r="B18" i="1"/>
  <c r="B19" i="1"/>
  <c r="B20" i="1"/>
  <c r="B21" i="1"/>
  <c r="B34" i="1"/>
  <c r="B22" i="1"/>
  <c r="B35" i="1"/>
  <c r="B37" i="1"/>
  <c r="B38" i="1"/>
  <c r="B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DDFE92F6-4C88-4B9B-A9A6-D7E272CB43CE}">
      <text>
        <r>
          <rPr>
            <b/>
            <sz val="9"/>
            <color indexed="81"/>
            <rFont val="Tahoma"/>
            <family val="2"/>
          </rPr>
          <t>Ajuste el nombre a 
Aguilla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6" authorId="0" shapeId="0" xr:uid="{77B7FA07-7035-4C54-84F1-24A1C22852A0}">
      <text>
        <r>
          <rPr>
            <b/>
            <sz val="9"/>
            <color indexed="81"/>
            <rFont val="Tahoma"/>
            <family val="2"/>
          </rPr>
          <t>Ajuste el nombre a 
Aguilla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<sst xmlns="http://schemas.openxmlformats.org/spreadsheetml/2006/main" count="1112" uniqueCount="495">
  <si>
    <t>Altitude1</t>
  </si>
  <si>
    <t xml:space="preserve">Water temperature </t>
  </si>
  <si>
    <t xml:space="preserve">Air temperature </t>
  </si>
  <si>
    <t xml:space="preserve">Average depth of the sampled area </t>
  </si>
  <si>
    <t xml:space="preserve">Maximum depth </t>
  </si>
  <si>
    <t xml:space="preserve">Width of the water surface </t>
  </si>
  <si>
    <t xml:space="preserve">Water flow </t>
  </si>
  <si>
    <t xml:space="preserve">Murkiness </t>
  </si>
  <si>
    <t>Percentage of bottom covered with water plants rooted</t>
  </si>
  <si>
    <t>Percentage of floating algae or plants in water</t>
  </si>
  <si>
    <t>Percentage pools</t>
  </si>
  <si>
    <t>Percentage of riffles</t>
  </si>
  <si>
    <t>Percentage of silt</t>
  </si>
  <si>
    <t xml:space="preserve">Percentage bottom with gravel </t>
  </si>
  <si>
    <t xml:space="preserve">Percentage of bottom with sand </t>
  </si>
  <si>
    <t>Percentage of bottom with pebbles</t>
  </si>
  <si>
    <t>Percentage of bottom with rocks larger than 300 mm</t>
  </si>
  <si>
    <t>Percent debris</t>
  </si>
  <si>
    <t>Quality and quantity of available area for the fish</t>
  </si>
  <si>
    <t>Percentage of water that is shaded most of the day</t>
  </si>
  <si>
    <t xml:space="preserve">Percentage of areas to hide </t>
  </si>
  <si>
    <t>Extent to which human activity altered the course and quality of water</t>
  </si>
  <si>
    <t>Type stream</t>
  </si>
  <si>
    <t>Altitude2</t>
  </si>
  <si>
    <t>pH</t>
  </si>
  <si>
    <t>Conductivity</t>
  </si>
  <si>
    <t>Salinity</t>
  </si>
  <si>
    <t>Transparency</t>
  </si>
  <si>
    <t>Oxygen</t>
  </si>
  <si>
    <t>Carbon Dioxide</t>
  </si>
  <si>
    <t>Alkalinity</t>
  </si>
  <si>
    <r>
      <t>NO</t>
    </r>
    <r>
      <rPr>
        <b/>
        <vertAlign val="subscript"/>
        <sz val="14"/>
        <rFont val="Times New Roman"/>
        <family val="1"/>
      </rPr>
      <t xml:space="preserve">2 </t>
    </r>
  </si>
  <si>
    <r>
      <t>NO</t>
    </r>
    <r>
      <rPr>
        <b/>
        <vertAlign val="subscript"/>
        <sz val="12"/>
        <rFont val="Times New Roman"/>
        <family val="1"/>
      </rPr>
      <t>3</t>
    </r>
  </si>
  <si>
    <t>Ammonium</t>
  </si>
  <si>
    <t>Hardness</t>
  </si>
  <si>
    <t>Phosphates</t>
  </si>
  <si>
    <t>TDS</t>
  </si>
  <si>
    <t>17M</t>
  </si>
  <si>
    <t>1M</t>
  </si>
  <si>
    <t>28M</t>
  </si>
  <si>
    <t>29M</t>
  </si>
  <si>
    <t>30M</t>
  </si>
  <si>
    <t>36M</t>
  </si>
  <si>
    <t>25M</t>
  </si>
  <si>
    <t>33M</t>
  </si>
  <si>
    <t>34M</t>
  </si>
  <si>
    <t>26M</t>
  </si>
  <si>
    <t>31M</t>
  </si>
  <si>
    <t>18M</t>
  </si>
  <si>
    <t>35M</t>
  </si>
  <si>
    <t>2M</t>
  </si>
  <si>
    <t>11M</t>
  </si>
  <si>
    <t>12M</t>
  </si>
  <si>
    <t>4M</t>
  </si>
  <si>
    <t>3P</t>
  </si>
  <si>
    <t>13M</t>
  </si>
  <si>
    <t>5M</t>
  </si>
  <si>
    <t>32M</t>
  </si>
  <si>
    <t>19P</t>
  </si>
  <si>
    <t>14M</t>
  </si>
  <si>
    <t>37P</t>
  </si>
  <si>
    <t>6P</t>
  </si>
  <si>
    <t>20M</t>
  </si>
  <si>
    <t>27P</t>
  </si>
  <si>
    <t>38M</t>
  </si>
  <si>
    <t>15P</t>
  </si>
  <si>
    <t>16P</t>
  </si>
  <si>
    <t>39P</t>
  </si>
  <si>
    <t>21P</t>
  </si>
  <si>
    <t>22P</t>
  </si>
  <si>
    <t>23P</t>
  </si>
  <si>
    <t>7P</t>
  </si>
  <si>
    <t>8M</t>
  </si>
  <si>
    <t>9P</t>
  </si>
  <si>
    <t>40P</t>
  </si>
  <si>
    <t>41P</t>
  </si>
  <si>
    <t>10P</t>
  </si>
  <si>
    <t>42RM</t>
  </si>
  <si>
    <t>43RM</t>
  </si>
  <si>
    <t>Purificación</t>
  </si>
  <si>
    <t>Arroyo Grande</t>
  </si>
  <si>
    <t>San Felipe</t>
  </si>
  <si>
    <t>Santa Ana</t>
  </si>
  <si>
    <t>San Carlos</t>
  </si>
  <si>
    <t>San Marcos</t>
  </si>
  <si>
    <t>Pilon</t>
  </si>
  <si>
    <t>Corona</t>
  </si>
  <si>
    <t>Soto la Marina</t>
  </si>
  <si>
    <t>Palmas</t>
  </si>
  <si>
    <t>Code</t>
  </si>
  <si>
    <t>Location</t>
  </si>
  <si>
    <t>River</t>
  </si>
  <si>
    <t>Date</t>
  </si>
  <si>
    <t>Altitude</t>
  </si>
  <si>
    <t>Longitude</t>
  </si>
  <si>
    <t>Latitude</t>
  </si>
  <si>
    <t>Ejido El Huizachal</t>
  </si>
  <si>
    <t>Villa de Casas</t>
  </si>
  <si>
    <t>Ejido El Olmo</t>
  </si>
  <si>
    <t>Ejido Graciano Sánchez</t>
  </si>
  <si>
    <t>Ejido L. del Campesino</t>
  </si>
  <si>
    <t>Ejido Corona</t>
  </si>
  <si>
    <t>Ejido La Aurora</t>
  </si>
  <si>
    <t>15/07/1999 29/01/2000</t>
  </si>
  <si>
    <t>Lavaderos</t>
  </si>
  <si>
    <t>Ejido Santa María</t>
  </si>
  <si>
    <t>Villagrán</t>
  </si>
  <si>
    <t>Pilón</t>
  </si>
  <si>
    <t>12 M</t>
  </si>
  <si>
    <t>Ejido Venustiano Carranza</t>
  </si>
  <si>
    <t>Garza Váldez</t>
  </si>
  <si>
    <t>Ejido Libertad Campesina</t>
  </si>
  <si>
    <t>Ejido Viejo Camacho</t>
  </si>
  <si>
    <t>Ejido El Alba</t>
  </si>
  <si>
    <t>Padilla</t>
  </si>
  <si>
    <t>Ejido Buenos Aires</t>
  </si>
  <si>
    <t>Ejido Marte R. Gómez</t>
  </si>
  <si>
    <t>Ejido Cruz y Cruz</t>
  </si>
  <si>
    <t>Nuevo Padilla</t>
  </si>
  <si>
    <t>Ejido Fco. I. Madero</t>
  </si>
  <si>
    <t>Ejido Tres Palos</t>
  </si>
  <si>
    <t>Río San Carlos</t>
  </si>
  <si>
    <t>Ejido La Asunción</t>
  </si>
  <si>
    <t>20/02/1999 28/08/1999</t>
  </si>
  <si>
    <t>Ejido Venustiano Guerrero</t>
  </si>
  <si>
    <t>06/03/1999 20/12/1999 10/01/2001</t>
  </si>
  <si>
    <t>13/02/1999 25/09/1999</t>
  </si>
  <si>
    <t>Ejido La Libertad</t>
  </si>
  <si>
    <t>27/03/1999 02/10/1999</t>
  </si>
  <si>
    <t>Cañón del Novillo</t>
  </si>
  <si>
    <t>22/05/1999 04/12/1999</t>
  </si>
  <si>
    <t>Ejido Santa Ana</t>
  </si>
  <si>
    <t>Ejido San Cayetano</t>
  </si>
  <si>
    <t>15/07/1999 09/10/1999</t>
  </si>
  <si>
    <t>Cortina</t>
  </si>
  <si>
    <t>Rancho El Contadero</t>
  </si>
  <si>
    <t>Soto La Marina</t>
  </si>
  <si>
    <t>Ejido Vista Hermosa</t>
  </si>
  <si>
    <t>17/10/1999 12/11/2000</t>
  </si>
  <si>
    <t>Playa</t>
  </si>
  <si>
    <t>150–773</t>
  </si>
  <si>
    <t>&lt;10</t>
  </si>
  <si>
    <t>11–149</t>
  </si>
  <si>
    <t>Altitude3</t>
  </si>
  <si>
    <t>Zone1</t>
  </si>
  <si>
    <t>Zone2</t>
  </si>
  <si>
    <t>Montain</t>
  </si>
  <si>
    <t>Plain</t>
  </si>
  <si>
    <t>Mouth</t>
  </si>
  <si>
    <t>Sites</t>
  </si>
  <si>
    <t>Hypanus sabinus</t>
  </si>
  <si>
    <t>Elops saurus</t>
  </si>
  <si>
    <t>Dorosoma cepedianum</t>
  </si>
  <si>
    <t>Dorosoma petenense</t>
  </si>
  <si>
    <t>Campostoma anomalum</t>
  </si>
  <si>
    <t>Dionda episcopa</t>
  </si>
  <si>
    <t>Moxostoma congestum</t>
  </si>
  <si>
    <t>Ameiurus melas</t>
  </si>
  <si>
    <t>Ameiurus natalis</t>
  </si>
  <si>
    <t>Pylodictis olivaris</t>
  </si>
  <si>
    <t>Hemiramphus brasiliensis</t>
  </si>
  <si>
    <t>Fundulus grandis</t>
  </si>
  <si>
    <t>Gambusia affinis</t>
  </si>
  <si>
    <t>Gambusia aurata</t>
  </si>
  <si>
    <t>Poecilia formosa</t>
  </si>
  <si>
    <t>Poecilia latipinna</t>
  </si>
  <si>
    <t>Poecilia mexicana</t>
  </si>
  <si>
    <t>Mycteroperca bonaci</t>
  </si>
  <si>
    <t>Lepomis macrochirus</t>
  </si>
  <si>
    <t>Micropterus spp.</t>
  </si>
  <si>
    <t>Caranx crysos</t>
  </si>
  <si>
    <t>Oligoplites saurus</t>
  </si>
  <si>
    <t>Archosargus probatocephalus</t>
  </si>
  <si>
    <t>Aplodinotus grunniens</t>
  </si>
  <si>
    <t>Bairdiella chrysoura</t>
  </si>
  <si>
    <t>Micropogonias undulatus</t>
  </si>
  <si>
    <t>Herichthys labridens</t>
  </si>
  <si>
    <t>Herichthys cyanoguttatus</t>
  </si>
  <si>
    <t>Oreochromis aureus</t>
  </si>
  <si>
    <t>Dormitator maculatus</t>
  </si>
  <si>
    <t>Gobiomorus dormitor</t>
  </si>
  <si>
    <t>Gobionellus oceanicus</t>
  </si>
  <si>
    <t>Dionda sp.</t>
  </si>
  <si>
    <t>Ictalurus sp.</t>
  </si>
  <si>
    <t>Poecilia sp.</t>
  </si>
  <si>
    <t xml:space="preserve">Leiostomus xanthurus </t>
  </si>
  <si>
    <t xml:space="preserve">                                                          </t>
  </si>
  <si>
    <t>Sites1</t>
  </si>
  <si>
    <t>Abrev</t>
  </si>
  <si>
    <t>LatinName</t>
  </si>
  <si>
    <t>CommonName</t>
  </si>
  <si>
    <t>Family</t>
  </si>
  <si>
    <t>Guild</t>
  </si>
  <si>
    <t>TrophicLevel</t>
  </si>
  <si>
    <t>BodyLength</t>
  </si>
  <si>
    <t>BodyLengthMax</t>
  </si>
  <si>
    <t>ShapeFactor</t>
  </si>
  <si>
    <t>omnivory</t>
  </si>
  <si>
    <t>detritivory</t>
  </si>
  <si>
    <t>herbivory</t>
  </si>
  <si>
    <t>invertivory</t>
  </si>
  <si>
    <t>piscivory</t>
  </si>
  <si>
    <t>carnivory</t>
  </si>
  <si>
    <t>Hyps</t>
  </si>
  <si>
    <t>raya látigo</t>
  </si>
  <si>
    <t>Dasyatidae</t>
  </si>
  <si>
    <t>invertívoro bentónico</t>
  </si>
  <si>
    <t>Elps</t>
  </si>
  <si>
    <t>machete del Atlántico</t>
  </si>
  <si>
    <t>Elopidae</t>
  </si>
  <si>
    <t>piscívoro</t>
  </si>
  <si>
    <t>Mgla</t>
  </si>
  <si>
    <t>Megalops atlanticus</t>
  </si>
  <si>
    <t>sábalo</t>
  </si>
  <si>
    <t>Megalopidae</t>
  </si>
  <si>
    <t>Albv</t>
  </si>
  <si>
    <t>Albula vulpes</t>
  </si>
  <si>
    <t>macabí</t>
  </si>
  <si>
    <t>Albulidae</t>
  </si>
  <si>
    <t>invertívoro</t>
  </si>
  <si>
    <t>Angr</t>
  </si>
  <si>
    <t>Anguilla rostrata</t>
  </si>
  <si>
    <t>anguila americana</t>
  </si>
  <si>
    <t>Anguillidae</t>
  </si>
  <si>
    <t>carnívoro bentónico</t>
  </si>
  <si>
    <t>Myrp</t>
  </si>
  <si>
    <t>Myrophis punctatus</t>
  </si>
  <si>
    <t>tieso gusano</t>
  </si>
  <si>
    <t>Ophichthidae</t>
  </si>
  <si>
    <t>Ancm</t>
  </si>
  <si>
    <t>Anchoa mitchilli</t>
  </si>
  <si>
    <t>anchoa de caleta</t>
  </si>
  <si>
    <t>Engraulidae</t>
  </si>
  <si>
    <t>omnívoro planctívoro</t>
  </si>
  <si>
    <t>Anch</t>
  </si>
  <si>
    <t>Anchoa hepsetus</t>
  </si>
  <si>
    <t>anchoa de rayas anchas</t>
  </si>
  <si>
    <t>Brvg</t>
  </si>
  <si>
    <t>Brevoortia gunteri</t>
  </si>
  <si>
    <t>sardina escamita</t>
  </si>
  <si>
    <t>Clupeidae</t>
  </si>
  <si>
    <t>Brvp</t>
  </si>
  <si>
    <t>Brevoortia patronus</t>
  </si>
  <si>
    <t>sardina lacha</t>
  </si>
  <si>
    <t>Drsc</t>
  </si>
  <si>
    <t>sardina molleja</t>
  </si>
  <si>
    <t>Drsp</t>
  </si>
  <si>
    <t>Hrnj</t>
  </si>
  <si>
    <t>Harengula jaguana</t>
  </si>
  <si>
    <t>sardina escamuda</t>
  </si>
  <si>
    <t>Opso</t>
  </si>
  <si>
    <t>Opisthonema oglinum</t>
  </si>
  <si>
    <t>sardina vivita de hebra</t>
  </si>
  <si>
    <t>Cmpa</t>
  </si>
  <si>
    <t>rodapiedras del centro</t>
  </si>
  <si>
    <t>Cyprinidae</t>
  </si>
  <si>
    <t>herbívoro raspador</t>
  </si>
  <si>
    <t>Cypl</t>
  </si>
  <si>
    <t>Cyprinella lutrensis</t>
  </si>
  <si>
    <t>carpa roja</t>
  </si>
  <si>
    <t>omnivoro de columna de agua</t>
  </si>
  <si>
    <t>Dnde</t>
  </si>
  <si>
    <t>carpa obispa</t>
  </si>
  <si>
    <t>omnivoro de corriente</t>
  </si>
  <si>
    <t>Dsp.</t>
  </si>
  <si>
    <t>omnivoro/invertívoro de columna</t>
  </si>
  <si>
    <t>Nagñ</t>
  </si>
  <si>
    <t>Notropis</t>
  </si>
  <si>
    <t>Mxsc</t>
  </si>
  <si>
    <t>matalote gris</t>
  </si>
  <si>
    <t>Catostomidae</t>
  </si>
  <si>
    <t>detritívoro/herbíboro raspador</t>
  </si>
  <si>
    <t>Astm</t>
  </si>
  <si>
    <t>Astyanax  mexicanus</t>
  </si>
  <si>
    <t>tetra mexicano</t>
  </si>
  <si>
    <t>Characidae</t>
  </si>
  <si>
    <t>Arpf</t>
  </si>
  <si>
    <t>Ariopsis felis</t>
  </si>
  <si>
    <t>bagre de cabeza dura</t>
  </si>
  <si>
    <t>Ariidae</t>
  </si>
  <si>
    <t>omnívoro</t>
  </si>
  <si>
    <t>Amrm</t>
  </si>
  <si>
    <t>pez gato</t>
  </si>
  <si>
    <t>Ictaluridae</t>
  </si>
  <si>
    <t>omnivoro/invertívoro demersal</t>
  </si>
  <si>
    <t>Amrn</t>
  </si>
  <si>
    <t>bagre torito amarillo</t>
  </si>
  <si>
    <t>Ictl</t>
  </si>
  <si>
    <t>Ictalurus lupus</t>
  </si>
  <si>
    <t>bagre lobo</t>
  </si>
  <si>
    <t>carnívoro/invertívoro demersal</t>
  </si>
  <si>
    <t>Ictp</t>
  </si>
  <si>
    <t>Ictalurus punctatus</t>
  </si>
  <si>
    <t>bagre de canal</t>
  </si>
  <si>
    <t>omnivoro-carnívoro demersal</t>
  </si>
  <si>
    <t>Isp.</t>
  </si>
  <si>
    <t>bagre</t>
  </si>
  <si>
    <t>Pylo</t>
  </si>
  <si>
    <t>bagre piltonte</t>
  </si>
  <si>
    <t>piscívoro demersal</t>
  </si>
  <si>
    <t>Synf</t>
  </si>
  <si>
    <t>Synodus foetens</t>
  </si>
  <si>
    <t>lagarto costero</t>
  </si>
  <si>
    <t>Synodontidae</t>
  </si>
  <si>
    <t>Prcp</t>
  </si>
  <si>
    <t>Porichthys plectrodon</t>
  </si>
  <si>
    <t>doradilla</t>
  </si>
  <si>
    <t>Batrachoididae</t>
  </si>
  <si>
    <t>Djsm</t>
  </si>
  <si>
    <t>Dajaus monticola</t>
  </si>
  <si>
    <t>lisa de río</t>
  </si>
  <si>
    <t>Mugilidae</t>
  </si>
  <si>
    <t>omnivoro/invertívoro reófilo</t>
  </si>
  <si>
    <t>Mglc</t>
  </si>
  <si>
    <t>Mugil curema</t>
  </si>
  <si>
    <t>lisa blanca</t>
  </si>
  <si>
    <t>detritívoro</t>
  </si>
  <si>
    <t>Mmbm</t>
  </si>
  <si>
    <t>Membras martinica</t>
  </si>
  <si>
    <t>pejerrey rasposo</t>
  </si>
  <si>
    <t>Atherinopsidae</t>
  </si>
  <si>
    <t>planctívoro/invertívoro pelágico</t>
  </si>
  <si>
    <t>Mndb</t>
  </si>
  <si>
    <t>Menidia beryllina</t>
  </si>
  <si>
    <t>plateadito salado</t>
  </si>
  <si>
    <t>Hmrb</t>
  </si>
  <si>
    <t>agujeta brasileña</t>
  </si>
  <si>
    <t>Hemiramphidae</t>
  </si>
  <si>
    <t>herbívoro superficial</t>
  </si>
  <si>
    <t>Strt</t>
  </si>
  <si>
    <t>Strongylura timucu</t>
  </si>
  <si>
    <t>pez aguja</t>
  </si>
  <si>
    <t>Belonidae</t>
  </si>
  <si>
    <t>Fndg</t>
  </si>
  <si>
    <t>pez killi del Golfo</t>
  </si>
  <si>
    <t>Fundulidae</t>
  </si>
  <si>
    <t>invertívoro de superficie</t>
  </si>
  <si>
    <t>Lcnp</t>
  </si>
  <si>
    <t>Lucania parva</t>
  </si>
  <si>
    <t>sardinilla de lluvia</t>
  </si>
  <si>
    <t>Gmbsaf</t>
  </si>
  <si>
    <t>pez mosquito</t>
  </si>
  <si>
    <t>Poeciliidae</t>
  </si>
  <si>
    <t>omnivoro superficial</t>
  </si>
  <si>
    <t>Gmbsar</t>
  </si>
  <si>
    <t>guayacón</t>
  </si>
  <si>
    <t>Gmbr</t>
  </si>
  <si>
    <t>Gambusia regani</t>
  </si>
  <si>
    <t>Guayacón del Forlón</t>
  </si>
  <si>
    <t>Gsp.</t>
  </si>
  <si>
    <t>Gambusia sp.</t>
  </si>
  <si>
    <t>Pclf</t>
  </si>
  <si>
    <t>topote amazona</t>
  </si>
  <si>
    <t>Pcll</t>
  </si>
  <si>
    <t>topote velo</t>
  </si>
  <si>
    <t>Pclm</t>
  </si>
  <si>
    <t>topote del Atlántico</t>
  </si>
  <si>
    <t>Psp.</t>
  </si>
  <si>
    <t>topote</t>
  </si>
  <si>
    <t>Xphv</t>
  </si>
  <si>
    <t>Xiphophorus variatus</t>
  </si>
  <si>
    <t>platy variado</t>
  </si>
  <si>
    <t>Prnr</t>
  </si>
  <si>
    <t>Prionotus rubio</t>
  </si>
  <si>
    <t>rubio aletinegra</t>
  </si>
  <si>
    <t>Triglidae</t>
  </si>
  <si>
    <t>Cntu</t>
  </si>
  <si>
    <t>Centropomus undecimalis</t>
  </si>
  <si>
    <t>róbalo</t>
  </si>
  <si>
    <t>Centropomidae</t>
  </si>
  <si>
    <t>Mycb</t>
  </si>
  <si>
    <t>mero negro</t>
  </si>
  <si>
    <t>Serranidae</t>
  </si>
  <si>
    <t>piscívoro arrecifal (mero)</t>
  </si>
  <si>
    <t>Srra</t>
  </si>
  <si>
    <t>Serranus atrobranchus</t>
  </si>
  <si>
    <t>cabrilla</t>
  </si>
  <si>
    <t>carnívoro arrecifal</t>
  </si>
  <si>
    <t>Lpmm</t>
  </si>
  <si>
    <t>mojarra oreja azul</t>
  </si>
  <si>
    <t>Centrarchidae</t>
  </si>
  <si>
    <t>invertívoro litoral</t>
  </si>
  <si>
    <t>Msp.</t>
  </si>
  <si>
    <t>perca americana</t>
  </si>
  <si>
    <t>piscívoro litoral</t>
  </si>
  <si>
    <t>Crnc</t>
  </si>
  <si>
    <t>cojinúa negra</t>
  </si>
  <si>
    <t>Carangidae</t>
  </si>
  <si>
    <t>Crnh</t>
  </si>
  <si>
    <t>Caranx hippos</t>
  </si>
  <si>
    <t>jurel amarillo</t>
  </si>
  <si>
    <t>Crnl</t>
  </si>
  <si>
    <t>Caranx latus</t>
  </si>
  <si>
    <t>jurel blanco</t>
  </si>
  <si>
    <t>Olgs</t>
  </si>
  <si>
    <t>zapatero</t>
  </si>
  <si>
    <t>piscívoro pelágico</t>
  </si>
  <si>
    <t>Trcc</t>
  </si>
  <si>
    <t>Trachinotus carolinus</t>
  </si>
  <si>
    <t>pámpano</t>
  </si>
  <si>
    <t>carnívoro (crustáceos) nerítico</t>
  </si>
  <si>
    <t>Trcf</t>
  </si>
  <si>
    <t>Trachinotus falcatus</t>
  </si>
  <si>
    <t>palometa</t>
  </si>
  <si>
    <t>Ltjnscm</t>
  </si>
  <si>
    <t>Lutjanus campechanus</t>
  </si>
  <si>
    <t>pargo rojo</t>
  </si>
  <si>
    <t>Lutjanidae</t>
  </si>
  <si>
    <t>Ltjnscy</t>
  </si>
  <si>
    <t>Lutjanus cyanopterus</t>
  </si>
  <si>
    <t>pargo cubera</t>
  </si>
  <si>
    <t>Ltjg</t>
  </si>
  <si>
    <t>Lutjanus griseus</t>
  </si>
  <si>
    <t>pargo mulato</t>
  </si>
  <si>
    <t>Dpta</t>
  </si>
  <si>
    <t>Diapterus auratus</t>
  </si>
  <si>
    <t>mojarra blanca</t>
  </si>
  <si>
    <t>Gerreidae</t>
  </si>
  <si>
    <t>Dptr</t>
  </si>
  <si>
    <t>Diapterus rhombeus</t>
  </si>
  <si>
    <t>mojarra de estero</t>
  </si>
  <si>
    <t>Ecnm</t>
  </si>
  <si>
    <t>Eucinostomus melanopterus</t>
  </si>
  <si>
    <t>mojarra de ley</t>
  </si>
  <si>
    <t>Grrc</t>
  </si>
  <si>
    <t>Gerres cinereus</t>
  </si>
  <si>
    <t>mojarra trompetera</t>
  </si>
  <si>
    <t>Anss</t>
  </si>
  <si>
    <t>burriquete</t>
  </si>
  <si>
    <t>Haemulidae</t>
  </si>
  <si>
    <t>invertívoro arrecifal</t>
  </si>
  <si>
    <t>Arcp</t>
  </si>
  <si>
    <t>sargo chopa</t>
  </si>
  <si>
    <t>moluscívoro/invertívoro</t>
  </si>
  <si>
    <t>Lgdr</t>
  </si>
  <si>
    <t>Lagodon rhomboides</t>
  </si>
  <si>
    <t>sargo salema</t>
  </si>
  <si>
    <t>Sparidae</t>
  </si>
  <si>
    <t>Aplg</t>
  </si>
  <si>
    <t>roncador de agua dulce</t>
  </si>
  <si>
    <t>Sciaenidae</t>
  </si>
  <si>
    <t>Brdc</t>
  </si>
  <si>
    <t>ronco amarillo</t>
  </si>
  <si>
    <t>Brdr</t>
  </si>
  <si>
    <t>Bairdiella ronchus</t>
  </si>
  <si>
    <t>ronco rayado</t>
  </si>
  <si>
    <t>Cyna</t>
  </si>
  <si>
    <t>Cynoscion arenarius</t>
  </si>
  <si>
    <t>corvina arenera</t>
  </si>
  <si>
    <t>Cynn</t>
  </si>
  <si>
    <t>Cynoscion nebulosus</t>
  </si>
  <si>
    <t>corvina pinta</t>
  </si>
  <si>
    <t>Lstx</t>
  </si>
  <si>
    <t>corvina manchada</t>
  </si>
  <si>
    <t>Mcru</t>
  </si>
  <si>
    <t>corvina de línea</t>
  </si>
  <si>
    <t>Pgnc</t>
  </si>
  <si>
    <t>Pogonias cromis</t>
  </si>
  <si>
    <t>corvina negra</t>
  </si>
  <si>
    <t>Hrcl</t>
  </si>
  <si>
    <t>mojarra huasteca</t>
  </si>
  <si>
    <t>Cichlidae</t>
  </si>
  <si>
    <t>Hrcc</t>
  </si>
  <si>
    <t>cíclido de Texas</t>
  </si>
  <si>
    <t>Orca</t>
  </si>
  <si>
    <t>tilapia azul</t>
  </si>
  <si>
    <t>omnívoro/herbívoro</t>
  </si>
  <si>
    <t>Drmm</t>
  </si>
  <si>
    <t>chococo del Atlántico</t>
  </si>
  <si>
    <t>Eleotridae</t>
  </si>
  <si>
    <t>Gbmd</t>
  </si>
  <si>
    <t>guavina bocona</t>
  </si>
  <si>
    <t>Gbno</t>
  </si>
  <si>
    <t>pez esmerald</t>
  </si>
  <si>
    <t>Gobiidae</t>
  </si>
  <si>
    <t>Scmr</t>
  </si>
  <si>
    <t>Scomberomorus regalis</t>
  </si>
  <si>
    <t>carito rey</t>
  </si>
  <si>
    <t>Scombridae</t>
  </si>
  <si>
    <t>Etrc</t>
  </si>
  <si>
    <t>Etropus crossotus</t>
  </si>
  <si>
    <t>lenguado ribete</t>
  </si>
  <si>
    <t>Paralichthyidae</t>
  </si>
  <si>
    <t>Achl</t>
  </si>
  <si>
    <t>Achirus lineatus</t>
  </si>
  <si>
    <t>lenguado</t>
  </si>
  <si>
    <t>Achiridae</t>
  </si>
  <si>
    <t>Symc</t>
  </si>
  <si>
    <t>lenguado de mar</t>
  </si>
  <si>
    <t>Cynoglossidae</t>
  </si>
  <si>
    <t>value</t>
  </si>
  <si>
    <t>Notropis aguirrepequenoi</t>
  </si>
  <si>
    <t>Anisotremus surinamensis</t>
  </si>
  <si>
    <t>Symphurus civitatum</t>
  </si>
  <si>
    <t>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</si>
</sst>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vertAlign val="subscript"/>
      <sz val="14"/>
      <name val="Times New Roman"/>
      <family val="1"/>
    </font>
    <font>
      <b/>
      <vertAlign val="subscript"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222222"/>
      <name val="Times New Roman"/>
      <family val="1"/>
    </font>
    <font>
      <sz val="12"/>
      <color rgb="FF222222"/>
      <name val="Times New Roman"/>
      <family val="1"/>
    </font>
    <font>
      <sz val="8"/>
      <name val="Calibri"/>
      <family val="2"/>
      <scheme val="minor"/>
    </font>
    <font>
      <sz val="14"/>
      <color rgb="FF222222"/>
      <name val="Times New Roman"/>
      <family val="1"/>
    </font>
    <font>
      <sz val="11"/>
      <color rgb="FF0070C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0" fontId="1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2" fillId="0" borderId="0" xfId="0" applyFont="1"/>
    <xf numFmtId="164" fontId="0" fillId="0" borderId="0" xfId="0" applyNumberFormat="1"/>
    <xf numFmtId="0" fontId="16" fillId="0" borderId="0" xfId="0" applyFont="1"/>
    <xf numFmtId="0" fontId="15" fillId="0" borderId="0" xfId="0" applyFont="1"/>
    <xf numFmtId="0" fontId="1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"/>
  <sheetViews>
    <sheetView workbookViewId="0">
      <selection sqref="A1:A43"/>
    </sheetView>
  </sheetViews>
  <sheetFormatPr baseColWidth="10" defaultColWidth="9.140625" defaultRowHeight="15" x14ac:dyDescent="0.25"/>
  <cols>
    <col min="3" max="3" width="9.140625" bestFit="1" customWidth="1"/>
    <col min="4" max="4" width="15.42578125" style="13" bestFit="1" customWidth="1"/>
    <col min="5" max="5" width="12.7109375" customWidth="1"/>
    <col min="6" max="7" width="10.28515625" customWidth="1"/>
    <col min="8" max="8" width="12" customWidth="1"/>
    <col min="9" max="9" width="12.7109375" customWidth="1"/>
    <col min="10" max="10" width="18.28515625" customWidth="1"/>
  </cols>
  <sheetData>
    <row r="1" spans="1:44" ht="20.25" x14ac:dyDescent="0.35">
      <c r="A1" s="1" t="s">
        <v>149</v>
      </c>
      <c r="B1" s="1" t="s">
        <v>144</v>
      </c>
      <c r="C1" s="1" t="s">
        <v>145</v>
      </c>
      <c r="D1" s="1" t="s">
        <v>91</v>
      </c>
      <c r="E1" s="14" t="s">
        <v>94</v>
      </c>
      <c r="F1" s="14" t="s">
        <v>95</v>
      </c>
      <c r="G1" s="3" t="s">
        <v>0</v>
      </c>
      <c r="H1" s="1" t="s">
        <v>23</v>
      </c>
      <c r="I1" s="1" t="s">
        <v>143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3" t="s">
        <v>24</v>
      </c>
      <c r="AG1" s="3" t="s">
        <v>25</v>
      </c>
      <c r="AH1" s="1" t="s">
        <v>26</v>
      </c>
      <c r="AI1" s="1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1" t="s">
        <v>33</v>
      </c>
      <c r="AP1" s="3" t="s">
        <v>34</v>
      </c>
      <c r="AQ1" s="3" t="s">
        <v>35</v>
      </c>
      <c r="AR1" s="3" t="s">
        <v>36</v>
      </c>
    </row>
    <row r="2" spans="1:44" ht="15.75" x14ac:dyDescent="0.25">
      <c r="A2" s="4" t="s">
        <v>51</v>
      </c>
      <c r="B2" s="4" t="str">
        <f t="shared" ref="B2:B41" si="0">RIGHT(A2,1)</f>
        <v>M</v>
      </c>
      <c r="C2" s="4" t="s">
        <v>146</v>
      </c>
      <c r="D2" s="12" t="s">
        <v>85</v>
      </c>
      <c r="E2" s="17">
        <v>-99.497500000000002</v>
      </c>
      <c r="F2" s="17">
        <v>24.479166667000001</v>
      </c>
      <c r="G2" s="5">
        <v>386</v>
      </c>
      <c r="H2" s="5">
        <v>2</v>
      </c>
      <c r="I2" s="4" t="s">
        <v>140</v>
      </c>
      <c r="J2" s="6">
        <v>26</v>
      </c>
      <c r="K2" s="6">
        <v>21</v>
      </c>
      <c r="L2" s="6">
        <v>25</v>
      </c>
      <c r="M2" s="6">
        <v>75</v>
      </c>
      <c r="N2" s="7">
        <v>14</v>
      </c>
      <c r="O2" s="6">
        <v>0.33800000000000002</v>
      </c>
      <c r="P2" s="6">
        <v>3</v>
      </c>
      <c r="Q2" s="6">
        <v>0</v>
      </c>
      <c r="R2" s="6">
        <v>1</v>
      </c>
      <c r="S2" s="6">
        <v>1</v>
      </c>
      <c r="T2" s="6">
        <v>2</v>
      </c>
      <c r="U2" s="6">
        <v>1</v>
      </c>
      <c r="V2" s="6">
        <v>1</v>
      </c>
      <c r="W2" s="6">
        <v>1</v>
      </c>
      <c r="X2" s="6">
        <v>2</v>
      </c>
      <c r="Y2" s="6">
        <v>2</v>
      </c>
      <c r="Z2" s="6">
        <v>2</v>
      </c>
      <c r="AA2" s="6">
        <v>5</v>
      </c>
      <c r="AB2" s="6">
        <v>2</v>
      </c>
      <c r="AC2" s="6">
        <v>2</v>
      </c>
      <c r="AD2" s="6">
        <v>0</v>
      </c>
      <c r="AE2" s="6">
        <v>4</v>
      </c>
      <c r="AF2" s="6">
        <v>7.2</v>
      </c>
      <c r="AG2" s="8">
        <v>563</v>
      </c>
      <c r="AH2" s="6">
        <v>2</v>
      </c>
      <c r="AI2" s="6">
        <v>20</v>
      </c>
      <c r="AJ2" s="6">
        <v>6.6</v>
      </c>
      <c r="AK2" s="5">
        <v>30</v>
      </c>
      <c r="AL2" s="5">
        <v>116</v>
      </c>
      <c r="AM2" s="5">
        <v>0.02</v>
      </c>
      <c r="AN2" s="5">
        <v>7.0000000000000007E-2</v>
      </c>
      <c r="AO2" s="5">
        <v>0.65</v>
      </c>
      <c r="AP2" s="5">
        <v>600</v>
      </c>
      <c r="AQ2" s="5">
        <v>0.32</v>
      </c>
      <c r="AR2" s="5">
        <v>333</v>
      </c>
    </row>
    <row r="3" spans="1:44" ht="15.75" x14ac:dyDescent="0.25">
      <c r="A3" s="4" t="s">
        <v>52</v>
      </c>
      <c r="B3" s="4" t="str">
        <f t="shared" si="0"/>
        <v>M</v>
      </c>
      <c r="C3" s="4" t="s">
        <v>146</v>
      </c>
      <c r="D3" s="12" t="s">
        <v>85</v>
      </c>
      <c r="E3" s="17">
        <v>-99.683333300000001</v>
      </c>
      <c r="F3" s="17">
        <v>24.525277778</v>
      </c>
      <c r="G3" s="5">
        <v>745</v>
      </c>
      <c r="H3" s="5">
        <v>2</v>
      </c>
      <c r="I3" s="4" t="s">
        <v>140</v>
      </c>
      <c r="J3" s="6">
        <v>29</v>
      </c>
      <c r="K3" s="6">
        <v>27</v>
      </c>
      <c r="L3" s="6">
        <v>16</v>
      </c>
      <c r="M3" s="6">
        <v>44</v>
      </c>
      <c r="N3" s="7">
        <v>6</v>
      </c>
      <c r="O3" s="6">
        <v>0.13500000000000001</v>
      </c>
      <c r="P3" s="6">
        <v>3</v>
      </c>
      <c r="Q3" s="6">
        <v>0</v>
      </c>
      <c r="R3" s="6">
        <v>0</v>
      </c>
      <c r="S3" s="6">
        <v>3</v>
      </c>
      <c r="T3" s="6">
        <v>3</v>
      </c>
      <c r="U3" s="6">
        <v>2</v>
      </c>
      <c r="V3" s="6">
        <v>2</v>
      </c>
      <c r="W3" s="6">
        <v>1</v>
      </c>
      <c r="X3" s="6">
        <v>2</v>
      </c>
      <c r="Y3" s="6">
        <v>1</v>
      </c>
      <c r="Z3" s="6">
        <v>3</v>
      </c>
      <c r="AA3" s="6">
        <v>5</v>
      </c>
      <c r="AB3" s="6">
        <v>3</v>
      </c>
      <c r="AC3" s="6">
        <v>1</v>
      </c>
      <c r="AD3" s="6">
        <v>0</v>
      </c>
      <c r="AE3" s="6">
        <v>4</v>
      </c>
      <c r="AF3" s="6">
        <v>7.2</v>
      </c>
      <c r="AG3" s="8">
        <v>387</v>
      </c>
      <c r="AH3" s="6">
        <v>2</v>
      </c>
      <c r="AI3" s="6">
        <v>20</v>
      </c>
      <c r="AJ3" s="6">
        <v>5.5</v>
      </c>
      <c r="AK3" s="5">
        <v>30</v>
      </c>
      <c r="AL3" s="5">
        <v>116</v>
      </c>
      <c r="AM3" s="5">
        <v>0.02</v>
      </c>
      <c r="AN3" s="5">
        <v>7.0000000000000007E-2</v>
      </c>
      <c r="AO3" s="5">
        <v>0.4</v>
      </c>
      <c r="AP3" s="5">
        <v>600</v>
      </c>
      <c r="AQ3" s="5">
        <v>0.75</v>
      </c>
      <c r="AR3" s="5">
        <v>183.6</v>
      </c>
    </row>
    <row r="4" spans="1:44" ht="15.75" x14ac:dyDescent="0.25">
      <c r="A4" s="4" t="s">
        <v>55</v>
      </c>
      <c r="B4" s="4" t="str">
        <f t="shared" si="0"/>
        <v>M</v>
      </c>
      <c r="C4" s="4" t="s">
        <v>146</v>
      </c>
      <c r="D4" s="12" t="s">
        <v>85</v>
      </c>
      <c r="E4" s="17">
        <v>-99.384166699999994</v>
      </c>
      <c r="F4" s="17">
        <v>24.512499999999999</v>
      </c>
      <c r="G4" s="5">
        <v>315</v>
      </c>
      <c r="H4" s="5">
        <v>2</v>
      </c>
      <c r="I4" s="4" t="s">
        <v>140</v>
      </c>
      <c r="J4" s="6">
        <v>28</v>
      </c>
      <c r="K4" s="6">
        <v>24</v>
      </c>
      <c r="L4" s="6">
        <v>24</v>
      </c>
      <c r="M4" s="6">
        <v>66</v>
      </c>
      <c r="N4" s="7">
        <v>18</v>
      </c>
      <c r="O4" s="6">
        <v>4.4999999999999998E-2</v>
      </c>
      <c r="P4" s="6">
        <v>3</v>
      </c>
      <c r="Q4" s="6">
        <v>0</v>
      </c>
      <c r="R4" s="6">
        <v>1</v>
      </c>
      <c r="S4" s="6">
        <v>2</v>
      </c>
      <c r="T4" s="6">
        <v>3</v>
      </c>
      <c r="U4" s="6">
        <v>1</v>
      </c>
      <c r="V4" s="6">
        <v>2</v>
      </c>
      <c r="W4" s="6">
        <v>1</v>
      </c>
      <c r="X4" s="6">
        <v>3</v>
      </c>
      <c r="Y4" s="6">
        <v>2</v>
      </c>
      <c r="Z4" s="6">
        <v>2</v>
      </c>
      <c r="AA4" s="6">
        <v>5</v>
      </c>
      <c r="AB4" s="6">
        <v>3</v>
      </c>
      <c r="AC4" s="6">
        <v>2</v>
      </c>
      <c r="AD4" s="6">
        <v>0</v>
      </c>
      <c r="AE4" s="6">
        <v>4</v>
      </c>
      <c r="AF4" s="6">
        <v>7.2</v>
      </c>
      <c r="AG4" s="8">
        <v>636.5</v>
      </c>
      <c r="AH4" s="6">
        <v>2</v>
      </c>
      <c r="AI4" s="6">
        <v>25</v>
      </c>
      <c r="AJ4" s="6">
        <v>4.8</v>
      </c>
      <c r="AK4" s="5">
        <v>25</v>
      </c>
      <c r="AL4" s="5">
        <v>116</v>
      </c>
      <c r="AM4" s="5">
        <v>0.04</v>
      </c>
      <c r="AN4" s="5">
        <v>7.0000000000000007E-2</v>
      </c>
      <c r="AO4" s="5">
        <v>0.65</v>
      </c>
      <c r="AP4" s="5">
        <v>600</v>
      </c>
      <c r="AQ4" s="5">
        <v>0.2</v>
      </c>
      <c r="AR4" s="5">
        <v>382</v>
      </c>
    </row>
    <row r="5" spans="1:44" ht="15.75" x14ac:dyDescent="0.25">
      <c r="A5" s="4" t="s">
        <v>59</v>
      </c>
      <c r="B5" s="4" t="str">
        <f t="shared" si="0"/>
        <v>M</v>
      </c>
      <c r="C5" s="4" t="s">
        <v>146</v>
      </c>
      <c r="D5" s="12" t="s">
        <v>85</v>
      </c>
      <c r="E5" s="17">
        <v>-99.267499999999998</v>
      </c>
      <c r="F5" s="17">
        <v>24.414999999999999</v>
      </c>
      <c r="G5" s="5">
        <v>253</v>
      </c>
      <c r="H5" s="5">
        <v>2</v>
      </c>
      <c r="I5" s="4" t="s">
        <v>140</v>
      </c>
      <c r="J5" s="6">
        <v>30</v>
      </c>
      <c r="K5" s="6">
        <v>28</v>
      </c>
      <c r="L5" s="6">
        <v>36.700000000000003</v>
      </c>
      <c r="M5" s="6">
        <v>96</v>
      </c>
      <c r="N5" s="7">
        <v>42</v>
      </c>
      <c r="O5" s="6">
        <v>128</v>
      </c>
      <c r="P5" s="6">
        <v>3</v>
      </c>
      <c r="Q5" s="6">
        <v>0</v>
      </c>
      <c r="R5" s="6">
        <v>2</v>
      </c>
      <c r="S5" s="6">
        <v>2</v>
      </c>
      <c r="T5" s="6">
        <v>2</v>
      </c>
      <c r="U5" s="6">
        <v>2</v>
      </c>
      <c r="V5" s="6">
        <v>2</v>
      </c>
      <c r="W5" s="6">
        <v>1</v>
      </c>
      <c r="X5" s="6">
        <v>0</v>
      </c>
      <c r="Y5" s="6">
        <v>0</v>
      </c>
      <c r="Z5" s="6">
        <v>1</v>
      </c>
      <c r="AA5" s="6">
        <v>5</v>
      </c>
      <c r="AB5" s="6">
        <v>3</v>
      </c>
      <c r="AC5" s="6">
        <v>1</v>
      </c>
      <c r="AD5" s="6">
        <v>1</v>
      </c>
      <c r="AE5" s="6">
        <v>5</v>
      </c>
      <c r="AF5" s="6">
        <v>7.9</v>
      </c>
      <c r="AG5" s="8">
        <v>1085</v>
      </c>
      <c r="AH5" s="6">
        <v>0</v>
      </c>
      <c r="AI5" s="6">
        <v>85</v>
      </c>
      <c r="AJ5" s="6">
        <v>1.85</v>
      </c>
      <c r="AK5" s="5">
        <v>20</v>
      </c>
      <c r="AL5" s="5">
        <v>182</v>
      </c>
      <c r="AM5" s="5">
        <v>1.4999999999999999E-2</v>
      </c>
      <c r="AN5" s="5">
        <v>8.5000000000000006E-2</v>
      </c>
      <c r="AO5" s="5">
        <v>1.64</v>
      </c>
      <c r="AP5" s="5">
        <v>270</v>
      </c>
      <c r="AQ5" s="5">
        <v>0.06</v>
      </c>
      <c r="AR5" s="5">
        <v>724.5</v>
      </c>
    </row>
    <row r="6" spans="1:44" ht="15.75" x14ac:dyDescent="0.25">
      <c r="A6" s="4" t="s">
        <v>37</v>
      </c>
      <c r="B6" s="4" t="str">
        <f t="shared" si="0"/>
        <v>M</v>
      </c>
      <c r="C6" s="4" t="s">
        <v>146</v>
      </c>
      <c r="D6" s="12" t="s">
        <v>79</v>
      </c>
      <c r="E6" s="17">
        <v>-99.464166700000007</v>
      </c>
      <c r="F6" s="17">
        <v>24.132777778000001</v>
      </c>
      <c r="G6" s="5">
        <v>455</v>
      </c>
      <c r="H6" s="5">
        <v>2</v>
      </c>
      <c r="I6" s="4" t="s">
        <v>140</v>
      </c>
      <c r="J6" s="6">
        <v>25</v>
      </c>
      <c r="K6" s="6">
        <v>22.5</v>
      </c>
      <c r="L6" s="6">
        <v>60</v>
      </c>
      <c r="M6" s="6">
        <v>80</v>
      </c>
      <c r="N6" s="7">
        <v>12</v>
      </c>
      <c r="O6" s="6">
        <v>5.0999999999999997E-2</v>
      </c>
      <c r="P6" s="6">
        <v>0</v>
      </c>
      <c r="Q6" s="6">
        <v>0</v>
      </c>
      <c r="R6" s="6">
        <v>1</v>
      </c>
      <c r="S6" s="6">
        <v>2</v>
      </c>
      <c r="T6" s="6">
        <v>3</v>
      </c>
      <c r="U6" s="6">
        <v>1</v>
      </c>
      <c r="V6" s="6">
        <v>2</v>
      </c>
      <c r="W6" s="6">
        <v>2</v>
      </c>
      <c r="X6" s="6">
        <v>1</v>
      </c>
      <c r="Y6" s="6">
        <v>0</v>
      </c>
      <c r="Z6" s="6">
        <v>2</v>
      </c>
      <c r="AA6" s="6">
        <v>3</v>
      </c>
      <c r="AB6" s="6">
        <v>2</v>
      </c>
      <c r="AC6" s="6">
        <v>2</v>
      </c>
      <c r="AD6" s="6">
        <v>0</v>
      </c>
      <c r="AE6" s="6">
        <v>5</v>
      </c>
      <c r="AF6" s="6">
        <v>7.75</v>
      </c>
      <c r="AG6" s="8">
        <v>361</v>
      </c>
      <c r="AH6" s="6">
        <v>2</v>
      </c>
      <c r="AI6" s="6">
        <v>140</v>
      </c>
      <c r="AJ6" s="6">
        <v>2.36</v>
      </c>
      <c r="AK6" s="6">
        <v>11</v>
      </c>
      <c r="AL6" s="6">
        <v>132</v>
      </c>
      <c r="AM6" s="6">
        <v>2.5000000000000001E-2</v>
      </c>
      <c r="AN6" s="6">
        <v>0.52</v>
      </c>
      <c r="AO6" s="6">
        <v>5</v>
      </c>
      <c r="AP6" s="6">
        <v>114</v>
      </c>
      <c r="AQ6" s="6">
        <v>0.05</v>
      </c>
      <c r="AR6" s="6">
        <v>219</v>
      </c>
    </row>
    <row r="7" spans="1:44" ht="15.75" x14ac:dyDescent="0.25">
      <c r="A7" s="4" t="s">
        <v>48</v>
      </c>
      <c r="B7" s="4" t="str">
        <f t="shared" si="0"/>
        <v>M</v>
      </c>
      <c r="C7" s="4" t="s">
        <v>146</v>
      </c>
      <c r="D7" s="12" t="s">
        <v>79</v>
      </c>
      <c r="E7" s="17">
        <v>-99.570833300000004</v>
      </c>
      <c r="F7" s="17">
        <v>24.35</v>
      </c>
      <c r="G7" s="5">
        <v>515</v>
      </c>
      <c r="H7" s="5">
        <v>2</v>
      </c>
      <c r="I7" s="4" t="s">
        <v>140</v>
      </c>
      <c r="J7" s="6">
        <v>21</v>
      </c>
      <c r="K7" s="6">
        <v>22.5</v>
      </c>
      <c r="L7" s="6">
        <v>54</v>
      </c>
      <c r="M7" s="6">
        <v>104</v>
      </c>
      <c r="N7" s="7">
        <v>33</v>
      </c>
      <c r="O7" s="6">
        <v>0.312</v>
      </c>
      <c r="P7" s="6">
        <v>0</v>
      </c>
      <c r="Q7" s="6">
        <v>0</v>
      </c>
      <c r="R7" s="6">
        <v>0</v>
      </c>
      <c r="S7" s="6">
        <v>3</v>
      </c>
      <c r="T7" s="6">
        <v>3</v>
      </c>
      <c r="U7" s="6">
        <v>1</v>
      </c>
      <c r="V7" s="6">
        <v>2</v>
      </c>
      <c r="W7" s="6">
        <v>1</v>
      </c>
      <c r="X7" s="6">
        <v>2</v>
      </c>
      <c r="Y7" s="6">
        <v>1</v>
      </c>
      <c r="Z7" s="6">
        <v>1</v>
      </c>
      <c r="AA7" s="6">
        <v>5</v>
      </c>
      <c r="AB7" s="6">
        <v>3</v>
      </c>
      <c r="AC7" s="6">
        <v>2</v>
      </c>
      <c r="AD7" s="6">
        <v>0</v>
      </c>
      <c r="AE7" s="6">
        <v>5</v>
      </c>
      <c r="AF7" s="6">
        <v>7.75</v>
      </c>
      <c r="AG7" s="8">
        <v>477.5</v>
      </c>
      <c r="AH7" s="6">
        <v>2</v>
      </c>
      <c r="AI7" s="6">
        <v>104</v>
      </c>
      <c r="AJ7" s="6">
        <v>1.85</v>
      </c>
      <c r="AK7" s="5">
        <v>15</v>
      </c>
      <c r="AL7" s="5">
        <v>164</v>
      </c>
      <c r="AM7" s="5">
        <v>0.02</v>
      </c>
      <c r="AN7" s="5">
        <v>0.64</v>
      </c>
      <c r="AO7" s="5">
        <v>1.9650000000000001</v>
      </c>
      <c r="AP7" s="5">
        <v>179</v>
      </c>
      <c r="AQ7" s="5">
        <v>0.14499999999999999</v>
      </c>
      <c r="AR7" s="5">
        <v>173</v>
      </c>
    </row>
    <row r="8" spans="1:44" ht="15.75" x14ac:dyDescent="0.25">
      <c r="A8" s="4" t="s">
        <v>38</v>
      </c>
      <c r="B8" s="4" t="str">
        <f t="shared" si="0"/>
        <v>M</v>
      </c>
      <c r="C8" s="4" t="s">
        <v>146</v>
      </c>
      <c r="D8" s="12" t="s">
        <v>80</v>
      </c>
      <c r="E8" s="17">
        <v>-99.183333300000001</v>
      </c>
      <c r="F8" s="17">
        <v>23.586666666999999</v>
      </c>
      <c r="G8" s="5">
        <v>773</v>
      </c>
      <c r="H8" s="5">
        <v>2</v>
      </c>
      <c r="I8" s="4" t="s">
        <v>140</v>
      </c>
      <c r="J8" s="6">
        <v>16.899999999999999</v>
      </c>
      <c r="K8" s="6">
        <v>18.8</v>
      </c>
      <c r="L8" s="6">
        <v>25</v>
      </c>
      <c r="M8" s="6">
        <v>45</v>
      </c>
      <c r="N8" s="7">
        <v>4</v>
      </c>
      <c r="O8" s="6">
        <v>0</v>
      </c>
      <c r="P8" s="6">
        <v>0</v>
      </c>
      <c r="Q8" s="6">
        <v>0</v>
      </c>
      <c r="R8" s="6">
        <v>1</v>
      </c>
      <c r="S8" s="6">
        <v>2</v>
      </c>
      <c r="T8" s="6">
        <v>3</v>
      </c>
      <c r="U8" s="6">
        <v>1</v>
      </c>
      <c r="V8" s="6">
        <v>1</v>
      </c>
      <c r="W8" s="6">
        <v>1</v>
      </c>
      <c r="X8" s="6">
        <v>2</v>
      </c>
      <c r="Y8" s="6">
        <v>1</v>
      </c>
      <c r="Z8" s="6">
        <v>2</v>
      </c>
      <c r="AA8" s="6">
        <v>5</v>
      </c>
      <c r="AB8" s="6">
        <v>3</v>
      </c>
      <c r="AC8" s="6">
        <v>1</v>
      </c>
      <c r="AD8" s="6">
        <v>1</v>
      </c>
      <c r="AE8" s="6">
        <v>2</v>
      </c>
      <c r="AF8" s="6">
        <v>7</v>
      </c>
      <c r="AG8" s="8">
        <v>475</v>
      </c>
      <c r="AH8" s="6">
        <v>2</v>
      </c>
      <c r="AI8" s="6">
        <v>64</v>
      </c>
      <c r="AJ8" s="6">
        <v>14.6</v>
      </c>
      <c r="AK8" s="6">
        <v>13</v>
      </c>
      <c r="AL8" s="6">
        <v>184</v>
      </c>
      <c r="AM8" s="6">
        <v>0.01</v>
      </c>
      <c r="AN8" s="6">
        <v>2.0099999999999998</v>
      </c>
      <c r="AO8" s="6">
        <v>0.49</v>
      </c>
      <c r="AP8" s="6">
        <v>260</v>
      </c>
      <c r="AQ8" s="6">
        <v>0.16</v>
      </c>
      <c r="AR8" s="6">
        <v>317</v>
      </c>
    </row>
    <row r="9" spans="1:44" ht="15.75" x14ac:dyDescent="0.25">
      <c r="A9" s="4" t="s">
        <v>62</v>
      </c>
      <c r="B9" s="4" t="str">
        <f t="shared" si="0"/>
        <v>M</v>
      </c>
      <c r="C9" s="4" t="s">
        <v>146</v>
      </c>
      <c r="D9" s="12" t="s">
        <v>79</v>
      </c>
      <c r="E9" s="17">
        <v>-99.184444400000004</v>
      </c>
      <c r="F9" s="17">
        <v>24.09</v>
      </c>
      <c r="G9" s="5">
        <v>210</v>
      </c>
      <c r="H9" s="5">
        <v>2</v>
      </c>
      <c r="I9" s="4" t="s">
        <v>140</v>
      </c>
      <c r="J9" s="6">
        <v>28</v>
      </c>
      <c r="K9" s="6">
        <v>21</v>
      </c>
      <c r="L9" s="6">
        <v>60</v>
      </c>
      <c r="M9" s="6">
        <v>95</v>
      </c>
      <c r="N9" s="7">
        <v>4</v>
      </c>
      <c r="O9" s="6">
        <v>0</v>
      </c>
      <c r="P9" s="6">
        <v>0</v>
      </c>
      <c r="Q9" s="6">
        <v>0</v>
      </c>
      <c r="R9" s="6">
        <v>0</v>
      </c>
      <c r="S9" s="6">
        <v>3</v>
      </c>
      <c r="T9" s="6">
        <v>0</v>
      </c>
      <c r="U9" s="6">
        <v>2</v>
      </c>
      <c r="V9" s="6">
        <v>1</v>
      </c>
      <c r="W9" s="6">
        <v>3</v>
      </c>
      <c r="X9" s="6">
        <v>0</v>
      </c>
      <c r="Y9" s="6">
        <v>0</v>
      </c>
      <c r="Z9" s="6">
        <v>1</v>
      </c>
      <c r="AA9" s="6">
        <v>0</v>
      </c>
      <c r="AB9" s="6">
        <v>1</v>
      </c>
      <c r="AC9" s="6">
        <v>0</v>
      </c>
      <c r="AD9" s="6">
        <v>0</v>
      </c>
      <c r="AE9" s="6">
        <v>1</v>
      </c>
      <c r="AF9" s="6">
        <v>7.9</v>
      </c>
      <c r="AG9" s="8">
        <v>664</v>
      </c>
      <c r="AH9" s="6">
        <v>2</v>
      </c>
      <c r="AI9" s="6">
        <v>76</v>
      </c>
      <c r="AJ9" s="6">
        <v>5.2</v>
      </c>
      <c r="AK9" s="5">
        <v>25</v>
      </c>
      <c r="AL9" s="5">
        <v>160</v>
      </c>
      <c r="AM9" s="5">
        <v>0.01</v>
      </c>
      <c r="AN9" s="5">
        <v>0.8</v>
      </c>
      <c r="AO9" s="5">
        <v>5</v>
      </c>
      <c r="AP9" s="5">
        <v>350</v>
      </c>
      <c r="AQ9" s="5">
        <v>0.1</v>
      </c>
      <c r="AR9" s="5">
        <v>380</v>
      </c>
    </row>
    <row r="10" spans="1:44" ht="15.75" x14ac:dyDescent="0.25">
      <c r="A10" s="4" t="s">
        <v>43</v>
      </c>
      <c r="B10" s="4" t="str">
        <f t="shared" si="0"/>
        <v>M</v>
      </c>
      <c r="C10" s="4" t="s">
        <v>146</v>
      </c>
      <c r="D10" s="12" t="s">
        <v>83</v>
      </c>
      <c r="E10" s="17">
        <v>-98.982222199999995</v>
      </c>
      <c r="F10" s="17">
        <v>24.628333333</v>
      </c>
      <c r="G10" s="5">
        <v>509</v>
      </c>
      <c r="H10" s="5">
        <v>2</v>
      </c>
      <c r="I10" s="4" t="s">
        <v>140</v>
      </c>
      <c r="J10" s="6">
        <v>27.6</v>
      </c>
      <c r="K10" s="6">
        <v>25.6</v>
      </c>
      <c r="L10" s="6">
        <v>30</v>
      </c>
      <c r="M10" s="6">
        <v>60</v>
      </c>
      <c r="N10" s="7">
        <v>4</v>
      </c>
      <c r="O10" s="6">
        <v>0</v>
      </c>
      <c r="P10" s="6">
        <v>1</v>
      </c>
      <c r="Q10" s="6">
        <v>0</v>
      </c>
      <c r="R10" s="6">
        <v>1</v>
      </c>
      <c r="S10" s="6">
        <v>0</v>
      </c>
      <c r="T10" s="6">
        <v>0</v>
      </c>
      <c r="U10" s="6">
        <v>2</v>
      </c>
      <c r="V10" s="6">
        <v>2</v>
      </c>
      <c r="W10" s="6">
        <v>1</v>
      </c>
      <c r="X10" s="6">
        <v>2</v>
      </c>
      <c r="Y10" s="6">
        <v>1</v>
      </c>
      <c r="Z10" s="6">
        <v>2</v>
      </c>
      <c r="AA10" s="6">
        <v>5</v>
      </c>
      <c r="AB10" s="6">
        <v>1</v>
      </c>
      <c r="AC10" s="6">
        <v>1</v>
      </c>
      <c r="AD10" s="6">
        <v>0</v>
      </c>
      <c r="AE10" s="6">
        <v>1</v>
      </c>
      <c r="AF10" s="6">
        <v>7.8</v>
      </c>
      <c r="AG10" s="8">
        <v>334</v>
      </c>
      <c r="AH10" s="6">
        <v>2</v>
      </c>
      <c r="AI10" s="6">
        <v>82</v>
      </c>
      <c r="AJ10" s="6">
        <v>6</v>
      </c>
      <c r="AK10" s="5">
        <v>18</v>
      </c>
      <c r="AL10" s="5">
        <v>120</v>
      </c>
      <c r="AM10" s="5">
        <v>0.02</v>
      </c>
      <c r="AN10" s="5">
        <v>0.16</v>
      </c>
      <c r="AO10" s="5">
        <v>1.19</v>
      </c>
      <c r="AP10" s="5">
        <v>96</v>
      </c>
      <c r="AQ10" s="5">
        <v>0</v>
      </c>
      <c r="AR10" s="5">
        <v>185.2</v>
      </c>
    </row>
    <row r="11" spans="1:44" ht="15.75" x14ac:dyDescent="0.25">
      <c r="A11" s="4" t="s">
        <v>46</v>
      </c>
      <c r="B11" s="4" t="str">
        <f t="shared" si="0"/>
        <v>M</v>
      </c>
      <c r="C11" s="4" t="s">
        <v>146</v>
      </c>
      <c r="D11" s="12" t="s">
        <v>83</v>
      </c>
      <c r="E11" s="17">
        <v>-98.944722200000001</v>
      </c>
      <c r="F11" s="17">
        <v>24.579166666999999</v>
      </c>
      <c r="G11" s="5">
        <v>447</v>
      </c>
      <c r="H11" s="5">
        <v>2</v>
      </c>
      <c r="I11" s="4" t="s">
        <v>140</v>
      </c>
      <c r="J11" s="6">
        <v>29</v>
      </c>
      <c r="K11" s="6">
        <v>28</v>
      </c>
      <c r="L11" s="6">
        <v>89</v>
      </c>
      <c r="M11" s="6">
        <v>132</v>
      </c>
      <c r="N11" s="7">
        <v>55</v>
      </c>
      <c r="O11" s="6">
        <v>0</v>
      </c>
      <c r="P11" s="6">
        <v>1</v>
      </c>
      <c r="Q11" s="6">
        <v>1</v>
      </c>
      <c r="R11" s="6">
        <v>1</v>
      </c>
      <c r="S11" s="6">
        <v>2</v>
      </c>
      <c r="T11" s="6">
        <v>3</v>
      </c>
      <c r="U11" s="6">
        <v>2</v>
      </c>
      <c r="V11" s="6">
        <v>2</v>
      </c>
      <c r="W11" s="6">
        <v>1</v>
      </c>
      <c r="X11" s="6">
        <v>1</v>
      </c>
      <c r="Y11" s="6">
        <v>1</v>
      </c>
      <c r="Z11" s="6">
        <v>2</v>
      </c>
      <c r="AA11" s="6">
        <v>5</v>
      </c>
      <c r="AB11" s="6">
        <v>1</v>
      </c>
      <c r="AC11" s="6">
        <v>1</v>
      </c>
      <c r="AD11" s="6">
        <v>0</v>
      </c>
      <c r="AE11" s="6">
        <v>1</v>
      </c>
      <c r="AF11" s="6">
        <v>7.4</v>
      </c>
      <c r="AG11" s="8">
        <v>1400</v>
      </c>
      <c r="AH11" s="6">
        <v>1</v>
      </c>
      <c r="AI11" s="6">
        <v>82</v>
      </c>
      <c r="AJ11" s="6">
        <v>4.5</v>
      </c>
      <c r="AK11" s="5">
        <v>29</v>
      </c>
      <c r="AL11" s="5">
        <v>344</v>
      </c>
      <c r="AM11" s="5">
        <v>5.0000000000000001E-3</v>
      </c>
      <c r="AN11" s="5">
        <v>0.35</v>
      </c>
      <c r="AO11" s="5">
        <v>1.51</v>
      </c>
      <c r="AP11" s="5">
        <v>288</v>
      </c>
      <c r="AQ11" s="5">
        <v>0.49</v>
      </c>
      <c r="AR11" s="5">
        <v>185.2</v>
      </c>
    </row>
    <row r="12" spans="1:44" ht="15.75" x14ac:dyDescent="0.25">
      <c r="A12" s="4" t="s">
        <v>39</v>
      </c>
      <c r="B12" s="4" t="str">
        <f t="shared" si="0"/>
        <v>M</v>
      </c>
      <c r="C12" s="4" t="s">
        <v>146</v>
      </c>
      <c r="D12" s="12" t="s">
        <v>81</v>
      </c>
      <c r="E12" s="17">
        <v>-99.2841667</v>
      </c>
      <c r="F12" s="17">
        <v>23.764722222</v>
      </c>
      <c r="G12" s="5">
        <v>594</v>
      </c>
      <c r="H12" s="5">
        <v>2</v>
      </c>
      <c r="I12" s="4" t="s">
        <v>140</v>
      </c>
      <c r="J12" s="6">
        <v>28</v>
      </c>
      <c r="K12" s="6">
        <v>25</v>
      </c>
      <c r="L12" s="6">
        <v>18</v>
      </c>
      <c r="M12" s="6">
        <v>42</v>
      </c>
      <c r="N12" s="7">
        <v>5.05</v>
      </c>
      <c r="O12" s="6">
        <v>0.25</v>
      </c>
      <c r="P12" s="6">
        <v>0</v>
      </c>
      <c r="Q12" s="6">
        <v>1</v>
      </c>
      <c r="R12" s="6">
        <v>0</v>
      </c>
      <c r="S12" s="6">
        <v>2</v>
      </c>
      <c r="T12" s="6">
        <v>2</v>
      </c>
      <c r="U12" s="6">
        <v>2</v>
      </c>
      <c r="V12" s="6">
        <v>1</v>
      </c>
      <c r="W12" s="6">
        <v>2</v>
      </c>
      <c r="X12" s="6">
        <v>1</v>
      </c>
      <c r="Y12" s="6">
        <v>1</v>
      </c>
      <c r="Z12" s="6">
        <v>3</v>
      </c>
      <c r="AA12" s="6">
        <v>5</v>
      </c>
      <c r="AB12" s="6">
        <v>2</v>
      </c>
      <c r="AC12" s="6">
        <v>1</v>
      </c>
      <c r="AD12" s="6">
        <v>0</v>
      </c>
      <c r="AE12" s="6">
        <v>5</v>
      </c>
      <c r="AF12" s="6">
        <v>8.1000000000000014</v>
      </c>
      <c r="AG12" s="6">
        <v>461.5</v>
      </c>
      <c r="AH12" s="6">
        <v>2</v>
      </c>
      <c r="AI12" s="6">
        <v>42</v>
      </c>
      <c r="AJ12" s="6">
        <v>8.1</v>
      </c>
      <c r="AK12" s="5">
        <v>13.5</v>
      </c>
      <c r="AL12" s="5">
        <v>223</v>
      </c>
      <c r="AM12" s="5">
        <v>0</v>
      </c>
      <c r="AN12" s="5">
        <v>0.55000000000000004</v>
      </c>
      <c r="AO12" s="5">
        <v>0.1</v>
      </c>
      <c r="AP12" s="5">
        <v>350</v>
      </c>
      <c r="AQ12" s="5">
        <v>0.03</v>
      </c>
      <c r="AR12" s="5">
        <v>100</v>
      </c>
    </row>
    <row r="13" spans="1:44" ht="15.75" x14ac:dyDescent="0.25">
      <c r="A13" s="4" t="s">
        <v>40</v>
      </c>
      <c r="B13" s="4" t="str">
        <f t="shared" si="0"/>
        <v>M</v>
      </c>
      <c r="C13" s="4" t="s">
        <v>146</v>
      </c>
      <c r="D13" s="12" t="s">
        <v>81</v>
      </c>
      <c r="E13" s="17">
        <v>-99.238333299999994</v>
      </c>
      <c r="F13" s="17">
        <v>23.771944443999999</v>
      </c>
      <c r="G13" s="5">
        <v>444</v>
      </c>
      <c r="H13" s="5">
        <v>2</v>
      </c>
      <c r="I13" s="4" t="s">
        <v>140</v>
      </c>
      <c r="J13" s="9">
        <v>28.333333333333332</v>
      </c>
      <c r="K13" s="9">
        <v>23.666666666666668</v>
      </c>
      <c r="L13" s="6">
        <v>12.46</v>
      </c>
      <c r="M13" s="6">
        <v>41</v>
      </c>
      <c r="N13" s="6">
        <v>12.1</v>
      </c>
      <c r="O13" s="9">
        <v>0.21666666666666667</v>
      </c>
      <c r="P13" s="6">
        <v>0.67</v>
      </c>
      <c r="Q13" s="6">
        <v>1</v>
      </c>
      <c r="R13" s="6">
        <v>0</v>
      </c>
      <c r="S13" s="6">
        <v>2</v>
      </c>
      <c r="T13" s="6">
        <v>3</v>
      </c>
      <c r="U13" s="6">
        <v>2</v>
      </c>
      <c r="V13" s="6">
        <v>1</v>
      </c>
      <c r="W13" s="6">
        <v>2</v>
      </c>
      <c r="X13" s="6">
        <v>1</v>
      </c>
      <c r="Y13" s="6">
        <v>1</v>
      </c>
      <c r="Z13" s="6">
        <v>1</v>
      </c>
      <c r="AA13" s="6">
        <v>5</v>
      </c>
      <c r="AB13" s="6">
        <v>1</v>
      </c>
      <c r="AC13" s="6">
        <v>2</v>
      </c>
      <c r="AD13" s="6">
        <v>0</v>
      </c>
      <c r="AE13" s="6">
        <v>5</v>
      </c>
      <c r="AF13" s="9">
        <v>8.1666666666666679</v>
      </c>
      <c r="AG13" s="9">
        <v>532.66666666666663</v>
      </c>
      <c r="AH13" s="9">
        <v>1.6666666666666667</v>
      </c>
      <c r="AI13" s="9">
        <v>53.333333333333336</v>
      </c>
      <c r="AJ13" s="9">
        <v>7.5133333333333328</v>
      </c>
      <c r="AK13" s="10">
        <v>5.333333333333333</v>
      </c>
      <c r="AL13" s="10">
        <v>119.33333333333333</v>
      </c>
      <c r="AM13" s="10">
        <v>1.3333333333333334E-2</v>
      </c>
      <c r="AN13" s="5">
        <v>1.1000000000000001</v>
      </c>
      <c r="AO13" s="10">
        <v>3.3666666666666667</v>
      </c>
      <c r="AP13" s="5">
        <v>350</v>
      </c>
      <c r="AQ13" s="5">
        <v>0.02</v>
      </c>
      <c r="AR13" s="5">
        <v>211</v>
      </c>
    </row>
    <row r="14" spans="1:44" ht="15.75" x14ac:dyDescent="0.25">
      <c r="A14" s="4" t="s">
        <v>50</v>
      </c>
      <c r="B14" s="4" t="str">
        <f t="shared" si="0"/>
        <v>M</v>
      </c>
      <c r="C14" s="4" t="s">
        <v>146</v>
      </c>
      <c r="D14" s="12" t="s">
        <v>80</v>
      </c>
      <c r="E14" s="17">
        <v>-98.593888899999996</v>
      </c>
      <c r="F14" s="17">
        <v>23.575277778</v>
      </c>
      <c r="G14" s="5">
        <v>289</v>
      </c>
      <c r="H14" s="5">
        <v>2</v>
      </c>
      <c r="I14" s="4" t="s">
        <v>140</v>
      </c>
      <c r="J14" s="6">
        <v>29</v>
      </c>
      <c r="K14" s="6">
        <v>26</v>
      </c>
      <c r="L14" s="6">
        <v>10</v>
      </c>
      <c r="M14" s="6">
        <v>64</v>
      </c>
      <c r="N14" s="7">
        <v>17</v>
      </c>
      <c r="O14" s="6">
        <v>0</v>
      </c>
      <c r="P14" s="6">
        <v>1</v>
      </c>
      <c r="Q14" s="6">
        <v>1</v>
      </c>
      <c r="R14" s="6">
        <v>0</v>
      </c>
      <c r="S14" s="6">
        <v>0</v>
      </c>
      <c r="T14" s="6">
        <v>0</v>
      </c>
      <c r="U14" s="6">
        <v>3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5</v>
      </c>
      <c r="AB14" s="6">
        <v>1</v>
      </c>
      <c r="AC14" s="6">
        <v>2</v>
      </c>
      <c r="AD14" s="6">
        <v>0</v>
      </c>
      <c r="AE14" s="6">
        <v>2</v>
      </c>
      <c r="AF14" s="6">
        <v>6.75</v>
      </c>
      <c r="AG14" s="8">
        <v>385</v>
      </c>
      <c r="AH14" s="6">
        <v>2</v>
      </c>
      <c r="AI14" s="6">
        <v>50</v>
      </c>
      <c r="AJ14" s="6">
        <v>4.05</v>
      </c>
      <c r="AK14" s="5">
        <v>19</v>
      </c>
      <c r="AL14" s="5">
        <v>182.2</v>
      </c>
      <c r="AM14" s="5">
        <v>0</v>
      </c>
      <c r="AN14" s="5">
        <v>0</v>
      </c>
      <c r="AO14" s="5">
        <v>1.0900000000000001</v>
      </c>
      <c r="AP14" s="5">
        <v>170</v>
      </c>
      <c r="AQ14" s="5">
        <v>0.47</v>
      </c>
      <c r="AR14" s="5">
        <v>182.2</v>
      </c>
    </row>
    <row r="15" spans="1:44" ht="15.75" x14ac:dyDescent="0.25">
      <c r="A15" s="4" t="s">
        <v>41</v>
      </c>
      <c r="B15" s="4" t="str">
        <f t="shared" si="0"/>
        <v>M</v>
      </c>
      <c r="C15" s="4" t="s">
        <v>146</v>
      </c>
      <c r="D15" s="12" t="s">
        <v>81</v>
      </c>
      <c r="E15" s="17">
        <v>-99.281388899999996</v>
      </c>
      <c r="F15" s="17">
        <v>23.771944443999999</v>
      </c>
      <c r="G15" s="5">
        <v>632</v>
      </c>
      <c r="H15" s="5">
        <v>2</v>
      </c>
      <c r="I15" s="4" t="s">
        <v>140</v>
      </c>
      <c r="J15" s="6">
        <v>28</v>
      </c>
      <c r="K15" s="6">
        <v>25</v>
      </c>
      <c r="L15" s="6">
        <v>12.46</v>
      </c>
      <c r="M15" s="6">
        <v>41</v>
      </c>
      <c r="N15" s="6">
        <v>12.05</v>
      </c>
      <c r="O15" s="6">
        <v>0.2</v>
      </c>
      <c r="P15" s="6">
        <v>1</v>
      </c>
      <c r="Q15" s="6">
        <v>1</v>
      </c>
      <c r="R15" s="6">
        <v>0</v>
      </c>
      <c r="S15" s="6">
        <v>2</v>
      </c>
      <c r="T15" s="6">
        <v>3</v>
      </c>
      <c r="U15" s="6">
        <v>2</v>
      </c>
      <c r="V15" s="6">
        <v>1</v>
      </c>
      <c r="W15" s="6">
        <v>2</v>
      </c>
      <c r="X15" s="6">
        <v>1</v>
      </c>
      <c r="Y15" s="6">
        <v>1</v>
      </c>
      <c r="Z15" s="6">
        <v>1</v>
      </c>
      <c r="AA15" s="6">
        <v>5</v>
      </c>
      <c r="AB15" s="6">
        <v>1</v>
      </c>
      <c r="AC15" s="6">
        <v>2</v>
      </c>
      <c r="AD15" s="6">
        <v>0</v>
      </c>
      <c r="AE15" s="6">
        <v>5</v>
      </c>
      <c r="AF15" s="6">
        <v>7.8500000000000005</v>
      </c>
      <c r="AG15" s="6">
        <v>388</v>
      </c>
      <c r="AH15" s="6">
        <v>2.5</v>
      </c>
      <c r="AI15" s="6">
        <v>35</v>
      </c>
      <c r="AJ15" s="6">
        <v>5.0199999999999996</v>
      </c>
      <c r="AK15" s="5">
        <v>9.5</v>
      </c>
      <c r="AL15" s="5">
        <v>130</v>
      </c>
      <c r="AM15" s="5">
        <v>1.4999999999999999E-2</v>
      </c>
      <c r="AN15" s="5">
        <v>0.75</v>
      </c>
      <c r="AO15" s="10">
        <v>2.5350000000000001</v>
      </c>
      <c r="AP15" s="5">
        <v>375</v>
      </c>
      <c r="AQ15" s="5">
        <v>0.03</v>
      </c>
      <c r="AR15" s="5">
        <v>100</v>
      </c>
    </row>
    <row r="16" spans="1:44" ht="15.75" x14ac:dyDescent="0.25">
      <c r="A16" s="4" t="s">
        <v>47</v>
      </c>
      <c r="B16" s="4" t="str">
        <f t="shared" si="0"/>
        <v>M</v>
      </c>
      <c r="C16" s="4" t="s">
        <v>146</v>
      </c>
      <c r="D16" s="12" t="s">
        <v>81</v>
      </c>
      <c r="E16" s="17">
        <v>-99.194722200000001</v>
      </c>
      <c r="F16" s="17">
        <v>23.783333333000002</v>
      </c>
      <c r="G16" s="5">
        <v>337</v>
      </c>
      <c r="H16" s="5">
        <v>2</v>
      </c>
      <c r="I16" s="4" t="s">
        <v>140</v>
      </c>
      <c r="J16" s="6">
        <v>26</v>
      </c>
      <c r="K16" s="6">
        <v>26.5</v>
      </c>
      <c r="L16" s="6">
        <v>31</v>
      </c>
      <c r="M16" s="6">
        <v>76</v>
      </c>
      <c r="N16" s="6">
        <v>12</v>
      </c>
      <c r="O16" s="9">
        <v>0.22799999999999998</v>
      </c>
      <c r="P16" s="6">
        <v>0</v>
      </c>
      <c r="Q16" s="6">
        <v>0</v>
      </c>
      <c r="R16" s="6">
        <v>0</v>
      </c>
      <c r="S16" s="6">
        <v>2</v>
      </c>
      <c r="T16" s="6">
        <v>3</v>
      </c>
      <c r="U16" s="6">
        <v>2</v>
      </c>
      <c r="V16" s="6">
        <v>1</v>
      </c>
      <c r="W16" s="6">
        <v>2</v>
      </c>
      <c r="X16" s="6">
        <v>1</v>
      </c>
      <c r="Y16" s="6">
        <v>1</v>
      </c>
      <c r="Z16" s="6">
        <v>3</v>
      </c>
      <c r="AA16" s="6">
        <v>5</v>
      </c>
      <c r="AB16" s="6">
        <v>2</v>
      </c>
      <c r="AC16" s="6">
        <v>1</v>
      </c>
      <c r="AD16" s="6">
        <v>0</v>
      </c>
      <c r="AE16" s="6">
        <v>5</v>
      </c>
      <c r="AF16" s="6">
        <v>8</v>
      </c>
      <c r="AG16" s="6">
        <v>290</v>
      </c>
      <c r="AH16" s="6">
        <v>2</v>
      </c>
      <c r="AI16" s="6">
        <v>71.5</v>
      </c>
      <c r="AJ16" s="6">
        <v>7.0500000000000007</v>
      </c>
      <c r="AK16" s="5">
        <v>20</v>
      </c>
      <c r="AL16" s="5">
        <v>181.5</v>
      </c>
      <c r="AM16" s="5">
        <v>1.4999999999999999E-2</v>
      </c>
      <c r="AN16" s="5">
        <v>0.93</v>
      </c>
      <c r="AO16" s="5">
        <v>0.45</v>
      </c>
      <c r="AP16" s="5">
        <v>120</v>
      </c>
      <c r="AQ16" s="10">
        <v>0.27500000000000002</v>
      </c>
      <c r="AR16" s="5">
        <v>100</v>
      </c>
    </row>
    <row r="17" spans="1:44" ht="15.75" x14ac:dyDescent="0.25">
      <c r="A17" s="4" t="s">
        <v>57</v>
      </c>
      <c r="B17" s="4" t="str">
        <f t="shared" si="0"/>
        <v>M</v>
      </c>
      <c r="C17" s="4" t="s">
        <v>146</v>
      </c>
      <c r="D17" s="12" t="s">
        <v>81</v>
      </c>
      <c r="E17" s="17">
        <v>-99.203333299999997</v>
      </c>
      <c r="F17" s="17">
        <v>23.779722222</v>
      </c>
      <c r="G17" s="5">
        <v>357</v>
      </c>
      <c r="H17" s="5">
        <v>2</v>
      </c>
      <c r="I17" s="4" t="s">
        <v>140</v>
      </c>
      <c r="J17" s="6">
        <v>39</v>
      </c>
      <c r="K17" s="6">
        <v>28</v>
      </c>
      <c r="L17" s="6">
        <v>12</v>
      </c>
      <c r="M17" s="6">
        <v>26</v>
      </c>
      <c r="N17" s="7">
        <v>8</v>
      </c>
      <c r="O17" s="6">
        <v>0.2</v>
      </c>
      <c r="P17" s="6">
        <v>0</v>
      </c>
      <c r="Q17" s="6">
        <v>0</v>
      </c>
      <c r="R17" s="6">
        <v>1</v>
      </c>
      <c r="S17" s="6">
        <v>2</v>
      </c>
      <c r="T17" s="6">
        <v>3</v>
      </c>
      <c r="U17" s="6">
        <v>0</v>
      </c>
      <c r="V17" s="6">
        <v>3</v>
      </c>
      <c r="W17" s="6">
        <v>1</v>
      </c>
      <c r="X17" s="6">
        <v>1</v>
      </c>
      <c r="Y17" s="6">
        <v>1</v>
      </c>
      <c r="Z17" s="6">
        <v>2</v>
      </c>
      <c r="AA17" s="6">
        <v>5</v>
      </c>
      <c r="AB17" s="6">
        <v>2</v>
      </c>
      <c r="AC17" s="6">
        <v>1</v>
      </c>
      <c r="AD17" s="6">
        <v>0</v>
      </c>
      <c r="AE17" s="6">
        <v>5</v>
      </c>
      <c r="AF17" s="6">
        <v>8.1</v>
      </c>
      <c r="AG17" s="8">
        <v>572</v>
      </c>
      <c r="AH17" s="6">
        <v>2</v>
      </c>
      <c r="AI17" s="6">
        <v>26</v>
      </c>
      <c r="AJ17" s="6">
        <v>1.78</v>
      </c>
      <c r="AK17" s="5">
        <v>0</v>
      </c>
      <c r="AL17" s="5">
        <v>264</v>
      </c>
      <c r="AM17" s="5">
        <v>0</v>
      </c>
      <c r="AN17" s="5">
        <v>0</v>
      </c>
      <c r="AO17" s="5">
        <v>0.24</v>
      </c>
      <c r="AP17" s="5">
        <v>200</v>
      </c>
      <c r="AQ17" s="5">
        <v>0.52</v>
      </c>
      <c r="AR17" s="5">
        <v>100</v>
      </c>
    </row>
    <row r="18" spans="1:44" ht="15.75" x14ac:dyDescent="0.25">
      <c r="A18" s="4" t="s">
        <v>44</v>
      </c>
      <c r="B18" s="4" t="str">
        <f t="shared" si="0"/>
        <v>M</v>
      </c>
      <c r="C18" s="4" t="s">
        <v>146</v>
      </c>
      <c r="D18" s="12" t="s">
        <v>84</v>
      </c>
      <c r="E18" s="17">
        <v>-99.222777800000003</v>
      </c>
      <c r="F18" s="17">
        <v>23.704722222000001</v>
      </c>
      <c r="G18" s="11">
        <v>520</v>
      </c>
      <c r="H18" s="11">
        <v>2</v>
      </c>
      <c r="I18" s="4" t="s">
        <v>140</v>
      </c>
      <c r="J18" s="6">
        <v>25</v>
      </c>
      <c r="K18" s="6">
        <v>22</v>
      </c>
      <c r="L18" s="6">
        <v>12</v>
      </c>
      <c r="M18" s="6">
        <v>55</v>
      </c>
      <c r="N18" s="7">
        <v>9</v>
      </c>
      <c r="O18" s="6">
        <v>9.7000000000000003E-2</v>
      </c>
      <c r="P18" s="6">
        <v>0</v>
      </c>
      <c r="Q18" s="6">
        <v>0</v>
      </c>
      <c r="R18" s="6">
        <v>0</v>
      </c>
      <c r="S18" s="6">
        <v>0</v>
      </c>
      <c r="T18" s="6">
        <v>1</v>
      </c>
      <c r="U18" s="6">
        <v>0</v>
      </c>
      <c r="V18" s="6">
        <v>1</v>
      </c>
      <c r="W18" s="6">
        <v>3</v>
      </c>
      <c r="X18" s="6">
        <v>1</v>
      </c>
      <c r="Y18" s="6">
        <v>1</v>
      </c>
      <c r="Z18" s="6">
        <v>1</v>
      </c>
      <c r="AA18" s="6">
        <v>5</v>
      </c>
      <c r="AB18" s="6">
        <v>2</v>
      </c>
      <c r="AC18" s="6">
        <v>2</v>
      </c>
      <c r="AD18" s="6">
        <v>0</v>
      </c>
      <c r="AE18" s="6">
        <v>5</v>
      </c>
      <c r="AF18" s="6">
        <v>7.3</v>
      </c>
      <c r="AG18" s="8">
        <v>428.5</v>
      </c>
      <c r="AH18" s="6">
        <v>3</v>
      </c>
      <c r="AI18" s="6">
        <v>28</v>
      </c>
      <c r="AJ18" s="6">
        <v>6.6</v>
      </c>
      <c r="AK18" s="5">
        <v>20.5</v>
      </c>
      <c r="AL18" s="5">
        <v>216.5</v>
      </c>
      <c r="AM18" s="5">
        <v>0.01</v>
      </c>
      <c r="AN18" s="5">
        <v>0.74</v>
      </c>
      <c r="AO18" s="5">
        <v>1.0900000000000001</v>
      </c>
      <c r="AP18" s="5">
        <v>162</v>
      </c>
      <c r="AQ18" s="5">
        <v>0.47</v>
      </c>
      <c r="AR18" s="5">
        <v>283.5</v>
      </c>
    </row>
    <row r="19" spans="1:44" ht="15.75" x14ac:dyDescent="0.25">
      <c r="A19" s="4" t="s">
        <v>45</v>
      </c>
      <c r="B19" s="4" t="str">
        <f t="shared" si="0"/>
        <v>M</v>
      </c>
      <c r="C19" s="4" t="s">
        <v>146</v>
      </c>
      <c r="D19" s="12" t="s">
        <v>84</v>
      </c>
      <c r="E19" s="17">
        <v>-99.221944399999998</v>
      </c>
      <c r="F19" s="17">
        <v>23.703611111000001</v>
      </c>
      <c r="G19" s="5">
        <v>501</v>
      </c>
      <c r="H19" s="5">
        <v>2</v>
      </c>
      <c r="I19" s="4" t="s">
        <v>140</v>
      </c>
      <c r="J19" s="6">
        <v>25</v>
      </c>
      <c r="K19" s="6">
        <v>22</v>
      </c>
      <c r="L19" s="6">
        <v>12</v>
      </c>
      <c r="M19" s="6">
        <v>55</v>
      </c>
      <c r="N19" s="7">
        <v>9.1</v>
      </c>
      <c r="O19" s="6">
        <v>9.7000000000000003E-2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0</v>
      </c>
      <c r="V19" s="6">
        <v>1</v>
      </c>
      <c r="W19" s="6">
        <v>3</v>
      </c>
      <c r="X19" s="6">
        <v>1</v>
      </c>
      <c r="Y19" s="6">
        <v>1</v>
      </c>
      <c r="Z19" s="6">
        <v>1</v>
      </c>
      <c r="AA19" s="6">
        <v>5</v>
      </c>
      <c r="AB19" s="6">
        <v>2</v>
      </c>
      <c r="AC19" s="6">
        <v>2</v>
      </c>
      <c r="AD19" s="6">
        <v>0</v>
      </c>
      <c r="AE19" s="6">
        <v>5</v>
      </c>
      <c r="AF19" s="6">
        <v>7</v>
      </c>
      <c r="AG19" s="8">
        <v>428.5</v>
      </c>
      <c r="AH19" s="6">
        <v>2</v>
      </c>
      <c r="AI19" s="6">
        <v>55</v>
      </c>
      <c r="AJ19" s="6">
        <v>1.3</v>
      </c>
      <c r="AK19" s="5">
        <v>20.5</v>
      </c>
      <c r="AL19" s="5">
        <v>216.5</v>
      </c>
      <c r="AM19" s="5">
        <v>0.01</v>
      </c>
      <c r="AN19" s="5">
        <v>0.74</v>
      </c>
      <c r="AO19" s="5">
        <v>1.0900000000000001</v>
      </c>
      <c r="AP19" s="5">
        <v>162</v>
      </c>
      <c r="AQ19" s="5">
        <v>0.47</v>
      </c>
      <c r="AR19" s="5">
        <v>283.5</v>
      </c>
    </row>
    <row r="20" spans="1:44" ht="15.75" x14ac:dyDescent="0.25">
      <c r="A20" s="4" t="s">
        <v>49</v>
      </c>
      <c r="B20" s="4" t="str">
        <f t="shared" si="0"/>
        <v>M</v>
      </c>
      <c r="C20" s="4" t="s">
        <v>146</v>
      </c>
      <c r="D20" s="12" t="s">
        <v>84</v>
      </c>
      <c r="E20" s="17">
        <v>-99.263888899999998</v>
      </c>
      <c r="F20" s="17">
        <v>23.723888889000001</v>
      </c>
      <c r="G20" s="5">
        <v>680</v>
      </c>
      <c r="H20" s="5">
        <v>2</v>
      </c>
      <c r="I20" s="4" t="s">
        <v>140</v>
      </c>
      <c r="J20" s="6">
        <v>23</v>
      </c>
      <c r="K20" s="6">
        <v>22.5</v>
      </c>
      <c r="L20" s="6">
        <v>21</v>
      </c>
      <c r="M20" s="6">
        <v>97</v>
      </c>
      <c r="N20" s="6">
        <v>5.05</v>
      </c>
      <c r="O20" s="9">
        <v>0.218</v>
      </c>
      <c r="P20" s="6">
        <v>1</v>
      </c>
      <c r="Q20" s="6">
        <v>0</v>
      </c>
      <c r="R20" s="6">
        <v>0</v>
      </c>
      <c r="S20" s="6">
        <v>2</v>
      </c>
      <c r="T20" s="6">
        <v>2</v>
      </c>
      <c r="U20" s="6">
        <v>1</v>
      </c>
      <c r="V20" s="6">
        <v>2</v>
      </c>
      <c r="W20" s="6">
        <v>2</v>
      </c>
      <c r="X20" s="6">
        <v>1</v>
      </c>
      <c r="Y20" s="6">
        <v>1</v>
      </c>
      <c r="Z20" s="6">
        <v>1</v>
      </c>
      <c r="AA20" s="6">
        <v>5</v>
      </c>
      <c r="AB20" s="6">
        <v>2</v>
      </c>
      <c r="AC20" s="6">
        <v>2</v>
      </c>
      <c r="AD20" s="6">
        <v>0</v>
      </c>
      <c r="AE20" s="6">
        <v>5</v>
      </c>
      <c r="AF20" s="6">
        <v>8.01</v>
      </c>
      <c r="AG20" s="6">
        <v>370.75</v>
      </c>
      <c r="AH20" s="6">
        <v>2</v>
      </c>
      <c r="AI20" s="6">
        <v>68.5</v>
      </c>
      <c r="AJ20" s="6">
        <v>6.15</v>
      </c>
      <c r="AK20" s="5">
        <v>21.25</v>
      </c>
      <c r="AL20" s="5">
        <v>235</v>
      </c>
      <c r="AM20" s="5">
        <v>0</v>
      </c>
      <c r="AN20" s="5">
        <v>0.01</v>
      </c>
      <c r="AO20" s="10">
        <v>0.89500000000000002</v>
      </c>
      <c r="AP20" s="5">
        <v>160</v>
      </c>
      <c r="AQ20" s="5">
        <v>0.47</v>
      </c>
      <c r="AR20" s="5">
        <v>283.5</v>
      </c>
    </row>
    <row r="21" spans="1:44" ht="15.75" x14ac:dyDescent="0.25">
      <c r="A21" s="4" t="s">
        <v>42</v>
      </c>
      <c r="B21" s="4" t="str">
        <f t="shared" si="0"/>
        <v>M</v>
      </c>
      <c r="C21" s="4" t="s">
        <v>146</v>
      </c>
      <c r="D21" s="12" t="s">
        <v>82</v>
      </c>
      <c r="E21" s="17">
        <v>-99.298333299999996</v>
      </c>
      <c r="F21" s="17">
        <v>23.803055556</v>
      </c>
      <c r="G21" s="5">
        <v>530</v>
      </c>
      <c r="H21" s="5">
        <v>2</v>
      </c>
      <c r="I21" s="4" t="s">
        <v>140</v>
      </c>
      <c r="J21" s="6">
        <v>26</v>
      </c>
      <c r="K21" s="6">
        <v>24</v>
      </c>
      <c r="L21" s="6">
        <v>21</v>
      </c>
      <c r="M21" s="6">
        <v>79</v>
      </c>
      <c r="N21" s="7">
        <v>8</v>
      </c>
      <c r="O21" s="6">
        <v>0.1</v>
      </c>
      <c r="P21" s="6">
        <v>1</v>
      </c>
      <c r="Q21" s="6">
        <v>1</v>
      </c>
      <c r="R21" s="6">
        <v>1</v>
      </c>
      <c r="S21" s="6">
        <v>3</v>
      </c>
      <c r="T21" s="6">
        <v>3</v>
      </c>
      <c r="U21" s="6">
        <v>3</v>
      </c>
      <c r="V21" s="6">
        <v>2</v>
      </c>
      <c r="W21" s="6">
        <v>1</v>
      </c>
      <c r="X21" s="6">
        <v>2</v>
      </c>
      <c r="Y21" s="6">
        <v>2</v>
      </c>
      <c r="Z21" s="6">
        <v>2</v>
      </c>
      <c r="AA21" s="6">
        <v>5</v>
      </c>
      <c r="AB21" s="6">
        <v>2</v>
      </c>
      <c r="AC21" s="6">
        <v>2</v>
      </c>
      <c r="AD21" s="6">
        <v>0</v>
      </c>
      <c r="AE21" s="6">
        <v>4</v>
      </c>
      <c r="AF21" s="6">
        <v>8.3000000000000007</v>
      </c>
      <c r="AG21" s="8">
        <v>301</v>
      </c>
      <c r="AH21" s="6">
        <v>2</v>
      </c>
      <c r="AI21" s="6">
        <v>79</v>
      </c>
      <c r="AJ21" s="6">
        <v>7.6</v>
      </c>
      <c r="AK21" s="5">
        <v>25</v>
      </c>
      <c r="AL21" s="5">
        <v>300</v>
      </c>
      <c r="AM21" s="5">
        <v>0</v>
      </c>
      <c r="AN21" s="5">
        <v>0</v>
      </c>
      <c r="AO21" s="5">
        <v>0.1</v>
      </c>
      <c r="AP21" s="5">
        <v>250</v>
      </c>
      <c r="AQ21" s="5">
        <v>0.03</v>
      </c>
      <c r="AR21" s="5">
        <v>100</v>
      </c>
    </row>
    <row r="22" spans="1:44" ht="15.75" x14ac:dyDescent="0.25">
      <c r="A22" s="4" t="s">
        <v>64</v>
      </c>
      <c r="B22" s="4" t="str">
        <f t="shared" si="0"/>
        <v>M</v>
      </c>
      <c r="C22" s="4" t="s">
        <v>146</v>
      </c>
      <c r="D22" s="12" t="s">
        <v>82</v>
      </c>
      <c r="E22" s="17">
        <v>-99.114722200000003</v>
      </c>
      <c r="F22" s="17">
        <v>23.911388889000001</v>
      </c>
      <c r="G22" s="11">
        <v>205</v>
      </c>
      <c r="H22" s="11">
        <v>2</v>
      </c>
      <c r="I22" s="4" t="s">
        <v>140</v>
      </c>
      <c r="J22" s="6">
        <v>31.5</v>
      </c>
      <c r="K22" s="6">
        <v>30</v>
      </c>
      <c r="L22" s="6">
        <v>31.5</v>
      </c>
      <c r="M22" s="6">
        <v>79</v>
      </c>
      <c r="N22" s="6">
        <v>7.2</v>
      </c>
      <c r="O22" s="9">
        <v>7.5000000000000011E-2</v>
      </c>
      <c r="P22" s="6">
        <v>1</v>
      </c>
      <c r="Q22" s="6">
        <v>0.5</v>
      </c>
      <c r="R22" s="6">
        <v>0.5</v>
      </c>
      <c r="S22" s="6">
        <v>2.5</v>
      </c>
      <c r="T22" s="6">
        <v>1.5</v>
      </c>
      <c r="U22" s="6">
        <v>2</v>
      </c>
      <c r="V22" s="6">
        <v>1</v>
      </c>
      <c r="W22" s="6">
        <v>1</v>
      </c>
      <c r="X22" s="6">
        <v>1</v>
      </c>
      <c r="Y22" s="6">
        <v>0</v>
      </c>
      <c r="Z22" s="6">
        <v>2</v>
      </c>
      <c r="AA22" s="6">
        <v>5</v>
      </c>
      <c r="AB22" s="6">
        <v>2.5</v>
      </c>
      <c r="AC22" s="6">
        <v>1.5</v>
      </c>
      <c r="AD22" s="6">
        <v>0</v>
      </c>
      <c r="AE22" s="6">
        <v>4</v>
      </c>
      <c r="AF22" s="6">
        <v>7.45</v>
      </c>
      <c r="AG22" s="6">
        <v>489</v>
      </c>
      <c r="AH22" s="6">
        <v>2</v>
      </c>
      <c r="AI22" s="6">
        <v>67</v>
      </c>
      <c r="AJ22" s="6">
        <v>7.0500000000000007</v>
      </c>
      <c r="AK22" s="5">
        <v>25.25</v>
      </c>
      <c r="AL22" s="5">
        <v>292</v>
      </c>
      <c r="AM22" s="5">
        <v>0.01</v>
      </c>
      <c r="AN22" s="5">
        <v>0.15</v>
      </c>
      <c r="AO22" s="5">
        <v>0.24000000000000002</v>
      </c>
      <c r="AP22" s="5">
        <v>263</v>
      </c>
      <c r="AQ22" s="5">
        <v>0.18</v>
      </c>
      <c r="AR22" s="5">
        <v>100</v>
      </c>
    </row>
    <row r="23" spans="1:44" ht="15.75" x14ac:dyDescent="0.25">
      <c r="A23" s="4" t="s">
        <v>53</v>
      </c>
      <c r="B23" s="4" t="str">
        <f t="shared" si="0"/>
        <v>M</v>
      </c>
      <c r="C23" s="4" t="s">
        <v>146</v>
      </c>
      <c r="D23" s="12" t="s">
        <v>86</v>
      </c>
      <c r="E23" s="17">
        <v>-99.365833300000006</v>
      </c>
      <c r="F23" s="17">
        <v>23.990555556</v>
      </c>
      <c r="G23" s="5">
        <v>409</v>
      </c>
      <c r="H23" s="5">
        <v>2</v>
      </c>
      <c r="I23" s="4" t="s">
        <v>140</v>
      </c>
      <c r="J23" s="6">
        <v>33</v>
      </c>
      <c r="K23" s="6">
        <v>24</v>
      </c>
      <c r="L23" s="6">
        <v>20</v>
      </c>
      <c r="M23" s="6">
        <v>48</v>
      </c>
      <c r="N23" s="7">
        <v>11</v>
      </c>
      <c r="O23" s="6">
        <v>0.1</v>
      </c>
      <c r="P23" s="6">
        <v>2</v>
      </c>
      <c r="Q23" s="6">
        <v>0</v>
      </c>
      <c r="R23" s="6">
        <v>0</v>
      </c>
      <c r="S23" s="6">
        <v>2</v>
      </c>
      <c r="T23" s="6">
        <v>2</v>
      </c>
      <c r="U23" s="6">
        <v>2</v>
      </c>
      <c r="V23" s="6">
        <v>2</v>
      </c>
      <c r="W23" s="6">
        <v>1</v>
      </c>
      <c r="X23" s="6">
        <v>2</v>
      </c>
      <c r="Y23" s="6">
        <v>1</v>
      </c>
      <c r="Z23" s="6">
        <v>0</v>
      </c>
      <c r="AA23" s="6">
        <v>5</v>
      </c>
      <c r="AB23" s="6">
        <v>3</v>
      </c>
      <c r="AC23" s="6">
        <v>2</v>
      </c>
      <c r="AD23" s="6">
        <v>0</v>
      </c>
      <c r="AE23" s="6">
        <v>5</v>
      </c>
      <c r="AF23" s="6">
        <v>7.9</v>
      </c>
      <c r="AG23" s="8">
        <v>231</v>
      </c>
      <c r="AH23" s="6">
        <v>2</v>
      </c>
      <c r="AI23" s="6">
        <v>48</v>
      </c>
      <c r="AJ23" s="6">
        <v>24</v>
      </c>
      <c r="AK23" s="5">
        <v>103</v>
      </c>
      <c r="AL23" s="5">
        <v>0</v>
      </c>
      <c r="AM23" s="5">
        <v>0</v>
      </c>
      <c r="AN23" s="5">
        <v>0</v>
      </c>
      <c r="AO23" s="5">
        <v>0</v>
      </c>
      <c r="AP23" s="5">
        <v>200</v>
      </c>
      <c r="AQ23" s="5">
        <v>7.0000000000000007E-2</v>
      </c>
      <c r="AR23" s="5">
        <v>260</v>
      </c>
    </row>
    <row r="24" spans="1:44" ht="15.75" x14ac:dyDescent="0.25">
      <c r="A24" s="4" t="s">
        <v>56</v>
      </c>
      <c r="B24" s="4" t="str">
        <f t="shared" si="0"/>
        <v>M</v>
      </c>
      <c r="C24" s="4" t="s">
        <v>146</v>
      </c>
      <c r="D24" s="12" t="s">
        <v>86</v>
      </c>
      <c r="E24" s="17">
        <v>-99.302222200000003</v>
      </c>
      <c r="F24" s="17">
        <v>23.923055556000001</v>
      </c>
      <c r="G24" s="5">
        <v>314</v>
      </c>
      <c r="H24" s="5">
        <v>2</v>
      </c>
      <c r="I24" s="4" t="s">
        <v>140</v>
      </c>
      <c r="J24" s="6">
        <v>18</v>
      </c>
      <c r="K24" s="6">
        <v>20</v>
      </c>
      <c r="L24" s="6">
        <v>45</v>
      </c>
      <c r="M24" s="6">
        <v>113</v>
      </c>
      <c r="N24" s="7">
        <v>11</v>
      </c>
      <c r="O24" s="6">
        <v>0</v>
      </c>
      <c r="P24" s="6">
        <v>2</v>
      </c>
      <c r="Q24" s="6">
        <v>0</v>
      </c>
      <c r="R24" s="6">
        <v>0</v>
      </c>
      <c r="S24" s="6">
        <v>1</v>
      </c>
      <c r="T24" s="6">
        <v>3</v>
      </c>
      <c r="U24" s="6">
        <v>1</v>
      </c>
      <c r="V24" s="6">
        <v>2</v>
      </c>
      <c r="W24" s="6">
        <v>1</v>
      </c>
      <c r="X24" s="6">
        <v>1</v>
      </c>
      <c r="Y24" s="6">
        <v>2</v>
      </c>
      <c r="Z24" s="6">
        <v>1</v>
      </c>
      <c r="AA24" s="6">
        <v>5</v>
      </c>
      <c r="AB24" s="6">
        <v>2</v>
      </c>
      <c r="AC24" s="6">
        <v>3</v>
      </c>
      <c r="AD24" s="6">
        <v>0</v>
      </c>
      <c r="AE24" s="6">
        <v>5</v>
      </c>
      <c r="AF24" s="6">
        <v>7</v>
      </c>
      <c r="AG24" s="8">
        <v>466</v>
      </c>
      <c r="AH24" s="6">
        <v>2</v>
      </c>
      <c r="AI24" s="6">
        <v>113</v>
      </c>
      <c r="AJ24" s="6">
        <v>3.1</v>
      </c>
      <c r="AK24" s="5">
        <v>103.5</v>
      </c>
      <c r="AL24" s="5">
        <v>234</v>
      </c>
      <c r="AM24" s="5">
        <v>0.03</v>
      </c>
      <c r="AN24" s="5">
        <v>6.5000000000000002E-2</v>
      </c>
      <c r="AO24" s="5">
        <v>5</v>
      </c>
      <c r="AP24" s="5">
        <v>200</v>
      </c>
      <c r="AQ24" s="5">
        <v>7.0000000000000007E-2</v>
      </c>
      <c r="AR24" s="5">
        <v>261</v>
      </c>
    </row>
    <row r="25" spans="1:44" ht="15.75" x14ac:dyDescent="0.25">
      <c r="A25" s="4" t="s">
        <v>72</v>
      </c>
      <c r="B25" s="4" t="str">
        <f t="shared" si="0"/>
        <v>M</v>
      </c>
      <c r="C25" s="4" t="s">
        <v>146</v>
      </c>
      <c r="D25" s="12" t="s">
        <v>86</v>
      </c>
      <c r="E25" s="17">
        <v>-99.287777800000001</v>
      </c>
      <c r="F25" s="17">
        <v>24.006666667000001</v>
      </c>
      <c r="G25" s="5">
        <v>261</v>
      </c>
      <c r="H25" s="5">
        <v>2</v>
      </c>
      <c r="I25" s="4" t="s">
        <v>140</v>
      </c>
      <c r="J25" s="6">
        <v>28</v>
      </c>
      <c r="K25" s="6">
        <v>27</v>
      </c>
      <c r="L25" s="6">
        <v>76</v>
      </c>
      <c r="M25" s="6">
        <v>146</v>
      </c>
      <c r="N25" s="7">
        <v>14</v>
      </c>
      <c r="O25" s="6">
        <v>0.2</v>
      </c>
      <c r="P25" s="6">
        <v>1</v>
      </c>
      <c r="Q25" s="6">
        <v>0</v>
      </c>
      <c r="R25" s="6">
        <v>0</v>
      </c>
      <c r="S25" s="6">
        <v>3</v>
      </c>
      <c r="T25" s="6">
        <v>2</v>
      </c>
      <c r="U25" s="6">
        <v>1</v>
      </c>
      <c r="V25" s="6">
        <v>2</v>
      </c>
      <c r="W25" s="6">
        <v>1</v>
      </c>
      <c r="X25" s="6">
        <v>2</v>
      </c>
      <c r="Y25" s="6">
        <v>1</v>
      </c>
      <c r="Z25" s="6">
        <v>2</v>
      </c>
      <c r="AA25" s="6">
        <v>5</v>
      </c>
      <c r="AB25" s="6">
        <v>2</v>
      </c>
      <c r="AC25" s="6">
        <v>3</v>
      </c>
      <c r="AD25" s="6">
        <v>0</v>
      </c>
      <c r="AE25" s="6">
        <v>4</v>
      </c>
      <c r="AF25" s="6">
        <v>7.5</v>
      </c>
      <c r="AG25" s="6">
        <v>231</v>
      </c>
      <c r="AH25" s="6">
        <v>2</v>
      </c>
      <c r="AI25" s="6">
        <v>146</v>
      </c>
      <c r="AJ25" s="6">
        <v>7.5</v>
      </c>
      <c r="AK25" s="5">
        <v>20</v>
      </c>
      <c r="AL25" s="5">
        <v>250</v>
      </c>
      <c r="AM25" s="5">
        <v>0</v>
      </c>
      <c r="AN25" s="5">
        <v>0</v>
      </c>
      <c r="AO25" s="5">
        <v>0.6</v>
      </c>
      <c r="AP25" s="5">
        <v>261</v>
      </c>
      <c r="AQ25" s="5">
        <v>0.35</v>
      </c>
      <c r="AR25" s="5">
        <v>597</v>
      </c>
    </row>
    <row r="26" spans="1:44" ht="15.75" x14ac:dyDescent="0.25">
      <c r="A26" s="4" t="s">
        <v>76</v>
      </c>
      <c r="B26" s="4" t="str">
        <f t="shared" si="0"/>
        <v>P</v>
      </c>
      <c r="C26" s="4" t="s">
        <v>147</v>
      </c>
      <c r="D26" s="12" t="s">
        <v>88</v>
      </c>
      <c r="E26" s="17">
        <v>-98.069722200000001</v>
      </c>
      <c r="F26" s="17">
        <v>23.659444443999998</v>
      </c>
      <c r="G26" s="5">
        <v>11</v>
      </c>
      <c r="H26" s="5">
        <v>1</v>
      </c>
      <c r="I26" s="4" t="s">
        <v>142</v>
      </c>
      <c r="J26" s="6">
        <v>24</v>
      </c>
      <c r="K26" s="6">
        <v>24</v>
      </c>
      <c r="L26" s="6">
        <v>53.5</v>
      </c>
      <c r="M26" s="6">
        <v>120</v>
      </c>
      <c r="N26" s="7">
        <v>9</v>
      </c>
      <c r="O26" s="6">
        <v>0.18</v>
      </c>
      <c r="P26" s="6">
        <v>3</v>
      </c>
      <c r="Q26" s="6">
        <v>3</v>
      </c>
      <c r="R26" s="6">
        <v>3</v>
      </c>
      <c r="S26" s="6">
        <v>3</v>
      </c>
      <c r="T26" s="6">
        <v>2</v>
      </c>
      <c r="U26" s="6">
        <v>3</v>
      </c>
      <c r="V26" s="6">
        <v>1</v>
      </c>
      <c r="W26" s="6">
        <v>1</v>
      </c>
      <c r="X26" s="6">
        <v>2</v>
      </c>
      <c r="Y26" s="6">
        <v>1</v>
      </c>
      <c r="Z26" s="6">
        <v>1</v>
      </c>
      <c r="AA26" s="6">
        <v>5</v>
      </c>
      <c r="AB26" s="6">
        <v>1</v>
      </c>
      <c r="AC26" s="6">
        <v>3</v>
      </c>
      <c r="AD26" s="6">
        <v>0</v>
      </c>
      <c r="AE26" s="6">
        <v>5</v>
      </c>
      <c r="AF26" s="6">
        <v>7</v>
      </c>
      <c r="AG26" s="8">
        <v>776</v>
      </c>
      <c r="AH26" s="6">
        <v>0</v>
      </c>
      <c r="AI26" s="6">
        <v>30</v>
      </c>
      <c r="AJ26" s="6">
        <v>24.9</v>
      </c>
      <c r="AK26" s="5">
        <v>19.5</v>
      </c>
      <c r="AL26" s="5">
        <v>220</v>
      </c>
      <c r="AM26" s="5">
        <v>5.0000000000000001E-3</v>
      </c>
      <c r="AN26" s="5">
        <v>0.06</v>
      </c>
      <c r="AO26" s="5">
        <v>1.385</v>
      </c>
      <c r="AP26" s="5">
        <v>110</v>
      </c>
      <c r="AQ26" s="5">
        <v>0.03</v>
      </c>
      <c r="AR26" s="5">
        <v>512</v>
      </c>
    </row>
    <row r="27" spans="1:44" ht="15.75" x14ac:dyDescent="0.25">
      <c r="A27" s="4" t="s">
        <v>65</v>
      </c>
      <c r="B27" s="4" t="str">
        <f t="shared" si="0"/>
        <v>P</v>
      </c>
      <c r="C27" s="4" t="s">
        <v>147</v>
      </c>
      <c r="D27" s="12" t="s">
        <v>85</v>
      </c>
      <c r="E27" s="17">
        <v>-99.016666700000002</v>
      </c>
      <c r="F27" s="17">
        <v>24.213055556</v>
      </c>
      <c r="G27" s="11">
        <v>171</v>
      </c>
      <c r="H27" s="11">
        <v>1</v>
      </c>
      <c r="I27" s="4" t="s">
        <v>142</v>
      </c>
      <c r="J27" s="6">
        <v>23</v>
      </c>
      <c r="K27" s="6">
        <v>23</v>
      </c>
      <c r="L27" s="6">
        <v>37</v>
      </c>
      <c r="M27" s="6">
        <v>74</v>
      </c>
      <c r="N27" s="7">
        <v>4.4000000000000004</v>
      </c>
      <c r="O27" s="6">
        <v>7.6999999999999999E-2</v>
      </c>
      <c r="P27" s="6">
        <v>3</v>
      </c>
      <c r="Q27" s="6">
        <v>0</v>
      </c>
      <c r="R27" s="6">
        <v>0</v>
      </c>
      <c r="S27" s="6">
        <v>3</v>
      </c>
      <c r="T27" s="6">
        <v>2</v>
      </c>
      <c r="U27" s="6">
        <v>2</v>
      </c>
      <c r="V27" s="6">
        <v>2</v>
      </c>
      <c r="W27" s="6">
        <v>1</v>
      </c>
      <c r="X27" s="6">
        <v>2</v>
      </c>
      <c r="Y27" s="6">
        <v>0</v>
      </c>
      <c r="Z27" s="6">
        <v>1</v>
      </c>
      <c r="AA27" s="6">
        <v>5</v>
      </c>
      <c r="AB27" s="6">
        <v>2</v>
      </c>
      <c r="AC27" s="6">
        <v>1</v>
      </c>
      <c r="AD27" s="6">
        <v>0</v>
      </c>
      <c r="AE27" s="6">
        <v>4</v>
      </c>
      <c r="AF27" s="6">
        <v>7.35</v>
      </c>
      <c r="AG27" s="8">
        <v>499</v>
      </c>
      <c r="AH27" s="6">
        <v>2</v>
      </c>
      <c r="AI27" s="6">
        <v>60</v>
      </c>
      <c r="AJ27" s="6">
        <v>2.95</v>
      </c>
      <c r="AK27" s="5">
        <v>18</v>
      </c>
      <c r="AL27" s="5">
        <v>140</v>
      </c>
      <c r="AM27" s="5">
        <v>0</v>
      </c>
      <c r="AN27" s="5">
        <v>1.375</v>
      </c>
      <c r="AO27" s="5">
        <v>0.1</v>
      </c>
      <c r="AP27" s="5">
        <v>190.6</v>
      </c>
      <c r="AQ27" s="5">
        <v>1.4999999999999999E-2</v>
      </c>
      <c r="AR27" s="5">
        <v>288</v>
      </c>
    </row>
    <row r="28" spans="1:44" ht="15.75" x14ac:dyDescent="0.25">
      <c r="A28" s="4" t="s">
        <v>66</v>
      </c>
      <c r="B28" s="4" t="str">
        <f t="shared" si="0"/>
        <v>P</v>
      </c>
      <c r="C28" s="4" t="s">
        <v>147</v>
      </c>
      <c r="D28" s="12" t="s">
        <v>85</v>
      </c>
      <c r="E28" s="17">
        <v>-98.8636111</v>
      </c>
      <c r="F28" s="17">
        <v>24.100833333000001</v>
      </c>
      <c r="G28" s="11">
        <v>141</v>
      </c>
      <c r="H28" s="11">
        <v>1</v>
      </c>
      <c r="I28" s="4" t="s">
        <v>142</v>
      </c>
      <c r="J28" s="6">
        <v>28</v>
      </c>
      <c r="K28" s="6">
        <v>25</v>
      </c>
      <c r="L28" s="6">
        <v>60</v>
      </c>
      <c r="M28" s="6">
        <v>90</v>
      </c>
      <c r="N28" s="7">
        <v>5</v>
      </c>
      <c r="O28" s="6">
        <v>0.05</v>
      </c>
      <c r="P28" s="6">
        <v>3</v>
      </c>
      <c r="Q28" s="6">
        <v>3</v>
      </c>
      <c r="R28" s="6">
        <v>1</v>
      </c>
      <c r="S28" s="6">
        <v>3</v>
      </c>
      <c r="T28" s="6">
        <v>2</v>
      </c>
      <c r="U28" s="6">
        <v>1</v>
      </c>
      <c r="V28" s="6">
        <v>2</v>
      </c>
      <c r="W28" s="6">
        <v>1</v>
      </c>
      <c r="X28" s="6">
        <v>2</v>
      </c>
      <c r="Y28" s="6">
        <v>1</v>
      </c>
      <c r="Z28" s="6">
        <v>1</v>
      </c>
      <c r="AA28" s="6">
        <v>5</v>
      </c>
      <c r="AB28" s="6">
        <v>2</v>
      </c>
      <c r="AC28" s="6">
        <v>1</v>
      </c>
      <c r="AD28" s="6">
        <v>1</v>
      </c>
      <c r="AE28" s="6">
        <v>5</v>
      </c>
      <c r="AF28" s="6">
        <v>7.6</v>
      </c>
      <c r="AG28" s="8">
        <v>567.5</v>
      </c>
      <c r="AH28" s="6">
        <v>2</v>
      </c>
      <c r="AI28" s="6">
        <v>74</v>
      </c>
      <c r="AJ28" s="6">
        <v>3.55</v>
      </c>
      <c r="AK28" s="5">
        <v>13.5</v>
      </c>
      <c r="AL28" s="5">
        <v>160</v>
      </c>
      <c r="AM28" s="5">
        <v>0</v>
      </c>
      <c r="AN28" s="5">
        <v>3.65</v>
      </c>
      <c r="AO28" s="5">
        <v>0.02</v>
      </c>
      <c r="AP28" s="5">
        <v>190</v>
      </c>
      <c r="AQ28" s="5">
        <v>1.4999999999999999E-2</v>
      </c>
      <c r="AR28" s="5">
        <v>512.5</v>
      </c>
    </row>
    <row r="29" spans="1:44" ht="15.75" x14ac:dyDescent="0.25">
      <c r="A29" s="4" t="s">
        <v>58</v>
      </c>
      <c r="B29" s="4" t="str">
        <f t="shared" si="0"/>
        <v>P</v>
      </c>
      <c r="C29" s="4" t="s">
        <v>147</v>
      </c>
      <c r="D29" s="12" t="s">
        <v>79</v>
      </c>
      <c r="E29" s="17">
        <v>-99.038888900000003</v>
      </c>
      <c r="F29" s="17">
        <v>24.063888889000001</v>
      </c>
      <c r="G29" s="5">
        <v>178</v>
      </c>
      <c r="H29" s="5">
        <v>1</v>
      </c>
      <c r="I29" s="4" t="s">
        <v>142</v>
      </c>
      <c r="J29" s="6">
        <v>28</v>
      </c>
      <c r="K29" s="6">
        <v>22</v>
      </c>
      <c r="L29" s="6">
        <v>22</v>
      </c>
      <c r="M29" s="6">
        <v>85</v>
      </c>
      <c r="N29" s="7">
        <v>11</v>
      </c>
      <c r="O29" s="6">
        <v>0</v>
      </c>
      <c r="P29" s="6">
        <v>0</v>
      </c>
      <c r="Q29" s="6">
        <v>0</v>
      </c>
      <c r="R29" s="6">
        <v>1</v>
      </c>
      <c r="S29" s="6">
        <v>0</v>
      </c>
      <c r="T29" s="6">
        <v>1</v>
      </c>
      <c r="U29" s="6">
        <v>2</v>
      </c>
      <c r="V29" s="6">
        <v>1</v>
      </c>
      <c r="W29" s="6">
        <v>1</v>
      </c>
      <c r="X29" s="6">
        <v>2</v>
      </c>
      <c r="Y29" s="6">
        <v>2</v>
      </c>
      <c r="Z29" s="6">
        <v>2</v>
      </c>
      <c r="AA29" s="6">
        <v>5</v>
      </c>
      <c r="AB29" s="6">
        <v>2</v>
      </c>
      <c r="AC29" s="6">
        <v>2</v>
      </c>
      <c r="AD29" s="6">
        <v>0</v>
      </c>
      <c r="AE29" s="6">
        <v>4</v>
      </c>
      <c r="AF29" s="6">
        <v>7.6</v>
      </c>
      <c r="AG29" s="8">
        <v>632</v>
      </c>
      <c r="AH29" s="6">
        <v>2</v>
      </c>
      <c r="AI29" s="6">
        <v>130</v>
      </c>
      <c r="AJ29" s="6">
        <v>5.8</v>
      </c>
      <c r="AK29" s="5">
        <v>24</v>
      </c>
      <c r="AL29" s="5">
        <v>185</v>
      </c>
      <c r="AM29" s="5">
        <v>0.2</v>
      </c>
      <c r="AN29" s="5">
        <v>3.0000000000000001E-3</v>
      </c>
      <c r="AO29" s="5">
        <v>0.25</v>
      </c>
      <c r="AP29" s="5">
        <v>374</v>
      </c>
      <c r="AQ29" s="5">
        <v>0.28000000000000003</v>
      </c>
      <c r="AR29" s="5">
        <v>360</v>
      </c>
    </row>
    <row r="30" spans="1:44" ht="15.75" x14ac:dyDescent="0.25">
      <c r="A30" s="4" t="s">
        <v>68</v>
      </c>
      <c r="B30" s="4" t="str">
        <f t="shared" si="0"/>
        <v>P</v>
      </c>
      <c r="C30" s="4" t="s">
        <v>147</v>
      </c>
      <c r="D30" s="12" t="s">
        <v>79</v>
      </c>
      <c r="E30" s="17">
        <v>-99.121666700000006</v>
      </c>
      <c r="F30" s="17">
        <v>24.113888888999998</v>
      </c>
      <c r="G30" s="5">
        <v>195</v>
      </c>
      <c r="H30" s="5">
        <v>1</v>
      </c>
      <c r="I30" s="4" t="s">
        <v>142</v>
      </c>
      <c r="J30" s="6">
        <v>25</v>
      </c>
      <c r="K30" s="6">
        <v>24</v>
      </c>
      <c r="L30" s="6">
        <v>38.54</v>
      </c>
      <c r="M30" s="6">
        <v>130</v>
      </c>
      <c r="N30" s="7">
        <v>22</v>
      </c>
      <c r="O30" s="6">
        <v>0.05</v>
      </c>
      <c r="P30" s="6">
        <v>3</v>
      </c>
      <c r="Q30" s="6">
        <v>2</v>
      </c>
      <c r="R30" s="6">
        <v>1</v>
      </c>
      <c r="S30" s="6">
        <v>3</v>
      </c>
      <c r="T30" s="6">
        <v>0</v>
      </c>
      <c r="U30" s="6">
        <v>2</v>
      </c>
      <c r="V30" s="6">
        <v>2</v>
      </c>
      <c r="W30" s="6">
        <v>1</v>
      </c>
      <c r="X30" s="6">
        <v>2</v>
      </c>
      <c r="Y30" s="6">
        <v>1</v>
      </c>
      <c r="Z30" s="6">
        <v>1</v>
      </c>
      <c r="AA30" s="6">
        <v>5</v>
      </c>
      <c r="AB30" s="6">
        <v>2</v>
      </c>
      <c r="AC30" s="6">
        <v>3</v>
      </c>
      <c r="AD30" s="6">
        <v>0</v>
      </c>
      <c r="AE30" s="6">
        <v>4</v>
      </c>
      <c r="AF30" s="6">
        <v>8.1999999999999993</v>
      </c>
      <c r="AG30" s="8">
        <v>492</v>
      </c>
      <c r="AH30" s="6">
        <v>2</v>
      </c>
      <c r="AI30" s="6">
        <v>130</v>
      </c>
      <c r="AJ30" s="6">
        <v>6</v>
      </c>
      <c r="AK30" s="5">
        <v>28</v>
      </c>
      <c r="AL30" s="5">
        <v>410</v>
      </c>
      <c r="AM30" s="5">
        <v>0</v>
      </c>
      <c r="AN30" s="5">
        <v>0</v>
      </c>
      <c r="AO30" s="5">
        <v>0.2</v>
      </c>
      <c r="AP30" s="5">
        <v>350</v>
      </c>
      <c r="AQ30" s="5">
        <v>0.1</v>
      </c>
      <c r="AR30" s="5">
        <v>380</v>
      </c>
    </row>
    <row r="31" spans="1:44" ht="15.75" x14ac:dyDescent="0.25">
      <c r="A31" s="4" t="s">
        <v>69</v>
      </c>
      <c r="B31" s="4" t="str">
        <f t="shared" si="0"/>
        <v>P</v>
      </c>
      <c r="C31" s="4" t="s">
        <v>147</v>
      </c>
      <c r="D31" s="12" t="s">
        <v>79</v>
      </c>
      <c r="E31" s="17">
        <v>-99.125</v>
      </c>
      <c r="F31" s="17">
        <v>24.077777778000002</v>
      </c>
      <c r="G31" s="5">
        <v>193</v>
      </c>
      <c r="H31" s="5">
        <v>1</v>
      </c>
      <c r="I31" s="4" t="s">
        <v>142</v>
      </c>
      <c r="J31" s="6">
        <v>25</v>
      </c>
      <c r="K31" s="6">
        <v>24</v>
      </c>
      <c r="L31" s="6">
        <v>38.54</v>
      </c>
      <c r="M31" s="6">
        <v>130</v>
      </c>
      <c r="N31" s="7">
        <v>22.1</v>
      </c>
      <c r="O31" s="6">
        <v>0.05</v>
      </c>
      <c r="P31" s="6">
        <v>3</v>
      </c>
      <c r="Q31" s="6">
        <v>2</v>
      </c>
      <c r="R31" s="6">
        <v>1</v>
      </c>
      <c r="S31" s="6">
        <v>3</v>
      </c>
      <c r="T31" s="6">
        <v>0</v>
      </c>
      <c r="U31" s="6">
        <v>2</v>
      </c>
      <c r="V31" s="6">
        <v>2</v>
      </c>
      <c r="W31" s="6">
        <v>1</v>
      </c>
      <c r="X31" s="6">
        <v>2</v>
      </c>
      <c r="Y31" s="6">
        <v>1</v>
      </c>
      <c r="Z31" s="6">
        <v>1</v>
      </c>
      <c r="AA31" s="6">
        <v>5</v>
      </c>
      <c r="AB31" s="6">
        <v>2</v>
      </c>
      <c r="AC31" s="6">
        <v>3</v>
      </c>
      <c r="AD31" s="6">
        <v>0</v>
      </c>
      <c r="AE31" s="6">
        <v>4</v>
      </c>
      <c r="AF31" s="6">
        <v>7.7</v>
      </c>
      <c r="AG31" s="8">
        <v>434</v>
      </c>
      <c r="AH31" s="6">
        <v>2</v>
      </c>
      <c r="AI31" s="6">
        <v>130</v>
      </c>
      <c r="AJ31" s="6">
        <v>6.4</v>
      </c>
      <c r="AK31" s="5">
        <v>23</v>
      </c>
      <c r="AL31" s="5">
        <v>280</v>
      </c>
      <c r="AM31" s="5">
        <v>0.1</v>
      </c>
      <c r="AN31" s="5">
        <v>0</v>
      </c>
      <c r="AO31" s="5">
        <v>0.4</v>
      </c>
      <c r="AP31" s="5">
        <v>350</v>
      </c>
      <c r="AQ31" s="5">
        <v>0.1</v>
      </c>
      <c r="AR31" s="5">
        <v>380</v>
      </c>
    </row>
    <row r="32" spans="1:44" ht="15.75" x14ac:dyDescent="0.25">
      <c r="A32" s="4" t="s">
        <v>70</v>
      </c>
      <c r="B32" s="4" t="str">
        <f t="shared" si="0"/>
        <v>P</v>
      </c>
      <c r="C32" s="4" t="s">
        <v>147</v>
      </c>
      <c r="D32" s="12" t="s">
        <v>79</v>
      </c>
      <c r="E32" s="17">
        <v>-98.900277799999998</v>
      </c>
      <c r="F32" s="17">
        <v>24.043888889000002</v>
      </c>
      <c r="G32" s="11">
        <v>154</v>
      </c>
      <c r="H32" s="11">
        <v>1</v>
      </c>
      <c r="I32" s="4" t="s">
        <v>142</v>
      </c>
      <c r="J32" s="6">
        <v>36</v>
      </c>
      <c r="K32" s="6">
        <v>29</v>
      </c>
      <c r="L32" s="6">
        <v>35</v>
      </c>
      <c r="M32" s="6">
        <v>77</v>
      </c>
      <c r="N32" s="7">
        <v>32</v>
      </c>
      <c r="O32" s="6">
        <v>8.4000000000000005E-2</v>
      </c>
      <c r="P32" s="6">
        <v>3</v>
      </c>
      <c r="Q32" s="6">
        <v>2</v>
      </c>
      <c r="R32" s="6">
        <v>2</v>
      </c>
      <c r="S32" s="6">
        <v>2</v>
      </c>
      <c r="T32" s="6">
        <v>2</v>
      </c>
      <c r="U32" s="6">
        <v>2</v>
      </c>
      <c r="V32" s="6">
        <v>2</v>
      </c>
      <c r="W32" s="6">
        <v>1</v>
      </c>
      <c r="X32" s="6">
        <v>2</v>
      </c>
      <c r="Y32" s="6">
        <v>1</v>
      </c>
      <c r="Z32" s="6">
        <v>1</v>
      </c>
      <c r="AA32" s="6">
        <v>5</v>
      </c>
      <c r="AB32" s="6">
        <v>2</v>
      </c>
      <c r="AC32" s="6">
        <v>2</v>
      </c>
      <c r="AD32" s="6">
        <v>1</v>
      </c>
      <c r="AE32" s="6">
        <v>5</v>
      </c>
      <c r="AF32" s="6">
        <v>7.9</v>
      </c>
      <c r="AG32" s="8">
        <v>1655</v>
      </c>
      <c r="AH32" s="6">
        <v>2</v>
      </c>
      <c r="AI32" s="6">
        <v>77</v>
      </c>
      <c r="AJ32" s="6">
        <v>6.7</v>
      </c>
      <c r="AK32" s="5">
        <v>22</v>
      </c>
      <c r="AL32" s="5">
        <v>170</v>
      </c>
      <c r="AM32" s="5">
        <v>0.02</v>
      </c>
      <c r="AN32" s="5">
        <v>1.7</v>
      </c>
      <c r="AO32" s="5">
        <v>5</v>
      </c>
      <c r="AP32" s="5">
        <v>1000</v>
      </c>
      <c r="AQ32" s="5">
        <v>0.3</v>
      </c>
      <c r="AR32" s="5">
        <v>998</v>
      </c>
    </row>
    <row r="33" spans="1:44" ht="15.75" x14ac:dyDescent="0.25">
      <c r="A33" s="4" t="s">
        <v>63</v>
      </c>
      <c r="B33" s="4" t="str">
        <f t="shared" si="0"/>
        <v>P</v>
      </c>
      <c r="C33" s="4" t="s">
        <v>147</v>
      </c>
      <c r="D33" s="12" t="s">
        <v>83</v>
      </c>
      <c r="E33" s="17">
        <v>-98.816666699999999</v>
      </c>
      <c r="F33" s="17">
        <v>24.178888889</v>
      </c>
      <c r="G33" s="5">
        <v>175</v>
      </c>
      <c r="H33" s="5">
        <v>1</v>
      </c>
      <c r="I33" s="4" t="s">
        <v>142</v>
      </c>
      <c r="J33" s="6">
        <v>28</v>
      </c>
      <c r="K33" s="6">
        <v>36</v>
      </c>
      <c r="L33" s="6">
        <v>24</v>
      </c>
      <c r="M33" s="6">
        <v>58</v>
      </c>
      <c r="N33" s="7">
        <v>7.3</v>
      </c>
      <c r="O33" s="6">
        <v>0.05</v>
      </c>
      <c r="P33" s="6">
        <v>2</v>
      </c>
      <c r="Q33" s="6">
        <v>1</v>
      </c>
      <c r="R33" s="6">
        <v>1</v>
      </c>
      <c r="S33" s="6">
        <v>2</v>
      </c>
      <c r="T33" s="6">
        <v>3</v>
      </c>
      <c r="U33" s="6">
        <v>1</v>
      </c>
      <c r="V33" s="6">
        <v>2</v>
      </c>
      <c r="W33" s="6">
        <v>1</v>
      </c>
      <c r="X33" s="6">
        <v>2</v>
      </c>
      <c r="Y33" s="6">
        <v>0</v>
      </c>
      <c r="Z33" s="6">
        <v>1</v>
      </c>
      <c r="AA33" s="6">
        <v>5</v>
      </c>
      <c r="AB33" s="6">
        <v>3</v>
      </c>
      <c r="AC33" s="6">
        <v>2</v>
      </c>
      <c r="AD33" s="6">
        <v>0</v>
      </c>
      <c r="AE33" s="6">
        <v>4</v>
      </c>
      <c r="AF33" s="6">
        <v>7.5</v>
      </c>
      <c r="AG33" s="8">
        <v>536</v>
      </c>
      <c r="AH33" s="6">
        <v>2</v>
      </c>
      <c r="AI33" s="6">
        <v>40</v>
      </c>
      <c r="AJ33" s="6">
        <v>2.8</v>
      </c>
      <c r="AK33" s="5">
        <v>24</v>
      </c>
      <c r="AL33" s="5">
        <v>180</v>
      </c>
      <c r="AM33" s="5">
        <v>0.1</v>
      </c>
      <c r="AN33" s="5">
        <v>0.46</v>
      </c>
      <c r="AO33" s="5">
        <v>2.65</v>
      </c>
      <c r="AP33" s="5">
        <v>92</v>
      </c>
      <c r="AQ33" s="5">
        <v>0.26</v>
      </c>
      <c r="AR33" s="5">
        <v>364</v>
      </c>
    </row>
    <row r="34" spans="1:44" ht="15.75" x14ac:dyDescent="0.25">
      <c r="A34" s="4" t="s">
        <v>60</v>
      </c>
      <c r="B34" s="4" t="str">
        <f t="shared" si="0"/>
        <v>P</v>
      </c>
      <c r="C34" s="4" t="s">
        <v>147</v>
      </c>
      <c r="D34" s="12" t="s">
        <v>82</v>
      </c>
      <c r="E34" s="17">
        <v>-98.976944399999994</v>
      </c>
      <c r="F34" s="17">
        <v>23.943611110999999</v>
      </c>
      <c r="G34" s="11">
        <v>159</v>
      </c>
      <c r="H34" s="11">
        <v>1</v>
      </c>
      <c r="I34" s="4" t="s">
        <v>142</v>
      </c>
      <c r="J34" s="6">
        <v>28</v>
      </c>
      <c r="K34" s="6">
        <v>17</v>
      </c>
      <c r="L34" s="6">
        <v>30</v>
      </c>
      <c r="M34" s="6">
        <v>68</v>
      </c>
      <c r="N34" s="7">
        <v>18</v>
      </c>
      <c r="O34" s="6">
        <v>0</v>
      </c>
      <c r="P34" s="6">
        <v>2</v>
      </c>
      <c r="Q34" s="6">
        <v>0</v>
      </c>
      <c r="R34" s="6">
        <v>3</v>
      </c>
      <c r="S34" s="6">
        <v>0</v>
      </c>
      <c r="T34" s="6">
        <v>1</v>
      </c>
      <c r="U34" s="6">
        <v>1</v>
      </c>
      <c r="V34" s="6">
        <v>2</v>
      </c>
      <c r="W34" s="6">
        <v>1</v>
      </c>
      <c r="X34" s="6">
        <v>2</v>
      </c>
      <c r="Y34" s="6">
        <v>0</v>
      </c>
      <c r="Z34" s="6">
        <v>2</v>
      </c>
      <c r="AA34" s="6">
        <v>0</v>
      </c>
      <c r="AB34" s="6">
        <v>2</v>
      </c>
      <c r="AC34" s="6">
        <v>1</v>
      </c>
      <c r="AD34" s="6">
        <v>1</v>
      </c>
      <c r="AE34" s="6">
        <v>5</v>
      </c>
      <c r="AF34" s="6">
        <v>7.4</v>
      </c>
      <c r="AG34" s="8">
        <v>489</v>
      </c>
      <c r="AH34" s="6">
        <v>2</v>
      </c>
      <c r="AI34" s="6">
        <v>30</v>
      </c>
      <c r="AJ34" s="6">
        <v>7</v>
      </c>
      <c r="AK34" s="5">
        <v>25</v>
      </c>
      <c r="AL34" s="5">
        <v>292</v>
      </c>
      <c r="AM34" s="5">
        <v>0</v>
      </c>
      <c r="AN34" s="5">
        <v>0.1</v>
      </c>
      <c r="AO34" s="5">
        <v>0.2</v>
      </c>
      <c r="AP34" s="5">
        <v>260</v>
      </c>
      <c r="AQ34" s="5">
        <v>0.2</v>
      </c>
      <c r="AR34" s="5">
        <v>100</v>
      </c>
    </row>
    <row r="35" spans="1:44" ht="15.75" x14ac:dyDescent="0.25">
      <c r="A35" s="4" t="s">
        <v>67</v>
      </c>
      <c r="B35" s="4" t="str">
        <f t="shared" si="0"/>
        <v>P</v>
      </c>
      <c r="C35" s="4" t="s">
        <v>147</v>
      </c>
      <c r="D35" s="12" t="s">
        <v>87</v>
      </c>
      <c r="E35" s="17">
        <v>-98.657499999999999</v>
      </c>
      <c r="F35" s="17">
        <v>23.959722222</v>
      </c>
      <c r="G35" s="11">
        <v>147</v>
      </c>
      <c r="H35" s="11">
        <v>1</v>
      </c>
      <c r="I35" s="4" t="s">
        <v>142</v>
      </c>
      <c r="J35" s="6">
        <v>24</v>
      </c>
      <c r="K35" s="6">
        <v>20.5</v>
      </c>
      <c r="L35" s="6">
        <v>80</v>
      </c>
      <c r="M35" s="6">
        <v>200</v>
      </c>
      <c r="N35" s="7">
        <v>25</v>
      </c>
      <c r="O35" s="6">
        <v>0.03</v>
      </c>
      <c r="P35" s="6">
        <v>0</v>
      </c>
      <c r="Q35" s="6">
        <v>65</v>
      </c>
      <c r="R35" s="6">
        <v>4</v>
      </c>
      <c r="S35" s="6">
        <v>70</v>
      </c>
      <c r="T35" s="6">
        <v>30</v>
      </c>
      <c r="U35" s="6">
        <v>1</v>
      </c>
      <c r="V35" s="6">
        <v>40</v>
      </c>
      <c r="W35" s="6">
        <v>5</v>
      </c>
      <c r="X35" s="6">
        <v>45</v>
      </c>
      <c r="Y35" s="6">
        <v>10</v>
      </c>
      <c r="Z35" s="6">
        <v>15</v>
      </c>
      <c r="AA35" s="6">
        <v>5</v>
      </c>
      <c r="AB35" s="6">
        <v>25</v>
      </c>
      <c r="AC35" s="6">
        <v>15</v>
      </c>
      <c r="AD35" s="6">
        <v>5</v>
      </c>
      <c r="AE35" s="6">
        <v>5</v>
      </c>
      <c r="AF35" s="6">
        <v>6.5</v>
      </c>
      <c r="AG35" s="8">
        <v>517</v>
      </c>
      <c r="AH35" s="6">
        <v>4</v>
      </c>
      <c r="AI35" s="6">
        <v>200</v>
      </c>
      <c r="AJ35" s="6">
        <v>12.5</v>
      </c>
      <c r="AK35" s="5">
        <v>19</v>
      </c>
      <c r="AL35" s="5">
        <v>134</v>
      </c>
      <c r="AM35" s="5">
        <v>0</v>
      </c>
      <c r="AN35" s="5">
        <v>1.4999999999999999E-2</v>
      </c>
      <c r="AO35" s="5">
        <v>0.3</v>
      </c>
      <c r="AP35" s="5">
        <v>226</v>
      </c>
      <c r="AQ35" s="5">
        <v>0.3</v>
      </c>
      <c r="AR35" s="5">
        <v>344</v>
      </c>
    </row>
    <row r="36" spans="1:44" ht="15.75" x14ac:dyDescent="0.25">
      <c r="A36" s="4" t="s">
        <v>54</v>
      </c>
      <c r="B36" s="4" t="str">
        <f t="shared" si="0"/>
        <v>P</v>
      </c>
      <c r="C36" s="4" t="s">
        <v>147</v>
      </c>
      <c r="D36" s="12" t="s">
        <v>80</v>
      </c>
      <c r="E36" s="17">
        <v>-98.7191306</v>
      </c>
      <c r="F36" s="17">
        <v>23.725733333000001</v>
      </c>
      <c r="G36" s="5">
        <v>152</v>
      </c>
      <c r="H36" s="5">
        <v>1</v>
      </c>
      <c r="I36" s="4" t="s">
        <v>142</v>
      </c>
      <c r="J36" s="6">
        <v>21</v>
      </c>
      <c r="K36" s="6">
        <v>22.5</v>
      </c>
      <c r="L36" s="6">
        <v>32</v>
      </c>
      <c r="M36" s="6">
        <v>65</v>
      </c>
      <c r="N36" s="7">
        <v>3</v>
      </c>
      <c r="O36" s="6">
        <v>0</v>
      </c>
      <c r="P36" s="6">
        <v>2</v>
      </c>
      <c r="Q36" s="6">
        <v>0</v>
      </c>
      <c r="R36" s="6">
        <v>0</v>
      </c>
      <c r="S36" s="6">
        <v>0</v>
      </c>
      <c r="T36" s="6">
        <v>1</v>
      </c>
      <c r="U36" s="6">
        <v>3</v>
      </c>
      <c r="V36" s="6">
        <v>2</v>
      </c>
      <c r="W36" s="6">
        <v>1</v>
      </c>
      <c r="X36" s="6">
        <v>0</v>
      </c>
      <c r="Y36" s="6">
        <v>0</v>
      </c>
      <c r="Z36" s="6">
        <v>1</v>
      </c>
      <c r="AA36" s="6">
        <v>5</v>
      </c>
      <c r="AB36" s="6">
        <v>3</v>
      </c>
      <c r="AC36" s="6">
        <v>1</v>
      </c>
      <c r="AD36" s="6">
        <v>0</v>
      </c>
      <c r="AE36" s="6">
        <v>1</v>
      </c>
      <c r="AF36" s="6">
        <v>6.75</v>
      </c>
      <c r="AG36" s="8">
        <v>589</v>
      </c>
      <c r="AH36" s="6">
        <v>2</v>
      </c>
      <c r="AI36" s="6">
        <v>65</v>
      </c>
      <c r="AJ36" s="6">
        <v>5</v>
      </c>
      <c r="AK36" s="5">
        <v>19.66</v>
      </c>
      <c r="AL36" s="5">
        <v>190</v>
      </c>
      <c r="AM36" s="5">
        <v>0</v>
      </c>
      <c r="AN36" s="5">
        <v>0</v>
      </c>
      <c r="AO36" s="5">
        <v>1.0900000000000001</v>
      </c>
      <c r="AP36" s="5">
        <v>170</v>
      </c>
      <c r="AQ36" s="5">
        <v>0</v>
      </c>
      <c r="AR36" s="5">
        <v>387</v>
      </c>
    </row>
    <row r="37" spans="1:44" ht="15.75" x14ac:dyDescent="0.25">
      <c r="A37" s="4" t="s">
        <v>74</v>
      </c>
      <c r="B37" s="4" t="str">
        <f t="shared" si="0"/>
        <v>P</v>
      </c>
      <c r="C37" s="4" t="s">
        <v>147</v>
      </c>
      <c r="D37" s="12" t="s">
        <v>87</v>
      </c>
      <c r="E37" s="17">
        <v>-98.311111100000005</v>
      </c>
      <c r="F37" s="17">
        <v>24.026944444000002</v>
      </c>
      <c r="G37" s="5">
        <v>40</v>
      </c>
      <c r="H37" s="5">
        <v>1</v>
      </c>
      <c r="I37" s="4" t="s">
        <v>142</v>
      </c>
      <c r="J37" s="6">
        <v>34.5</v>
      </c>
      <c r="K37" s="6">
        <v>32</v>
      </c>
      <c r="L37" s="6">
        <v>45</v>
      </c>
      <c r="M37" s="6">
        <v>79</v>
      </c>
      <c r="N37" s="7">
        <v>38</v>
      </c>
      <c r="O37" s="6">
        <v>0.42199999999999999</v>
      </c>
      <c r="P37" s="6">
        <v>3</v>
      </c>
      <c r="Q37" s="6">
        <v>3</v>
      </c>
      <c r="R37" s="6">
        <v>0</v>
      </c>
      <c r="S37" s="6">
        <v>2</v>
      </c>
      <c r="T37" s="6">
        <v>3</v>
      </c>
      <c r="U37" s="6">
        <v>2</v>
      </c>
      <c r="V37" s="6">
        <v>1</v>
      </c>
      <c r="W37" s="6">
        <v>1</v>
      </c>
      <c r="X37" s="6">
        <v>2</v>
      </c>
      <c r="Y37" s="6">
        <v>0</v>
      </c>
      <c r="Z37" s="6">
        <v>1</v>
      </c>
      <c r="AA37" s="6">
        <v>5</v>
      </c>
      <c r="AB37" s="6">
        <v>1</v>
      </c>
      <c r="AC37" s="6">
        <v>1</v>
      </c>
      <c r="AD37" s="6">
        <v>0</v>
      </c>
      <c r="AE37" s="6">
        <v>6</v>
      </c>
      <c r="AF37" s="6">
        <v>7.5</v>
      </c>
      <c r="AG37" s="8">
        <v>957</v>
      </c>
      <c r="AH37" s="6">
        <v>1.5</v>
      </c>
      <c r="AI37" s="6">
        <v>0.79</v>
      </c>
      <c r="AJ37" s="6">
        <v>2.5</v>
      </c>
      <c r="AK37" s="5">
        <v>12</v>
      </c>
      <c r="AL37" s="5">
        <v>188</v>
      </c>
      <c r="AM37" s="5">
        <v>0.01</v>
      </c>
      <c r="AN37" s="5">
        <v>0.47</v>
      </c>
      <c r="AO37" s="5">
        <v>1.075</v>
      </c>
      <c r="AP37" s="5">
        <v>200</v>
      </c>
      <c r="AQ37" s="5">
        <v>0.01</v>
      </c>
      <c r="AR37" s="5">
        <v>634</v>
      </c>
    </row>
    <row r="38" spans="1:44" ht="15.75" x14ac:dyDescent="0.25">
      <c r="A38" s="4" t="s">
        <v>75</v>
      </c>
      <c r="B38" s="4" t="str">
        <f t="shared" si="0"/>
        <v>P</v>
      </c>
      <c r="C38" s="4" t="s">
        <v>147</v>
      </c>
      <c r="D38" s="12" t="s">
        <v>87</v>
      </c>
      <c r="E38" s="17">
        <v>-98.218888899999996</v>
      </c>
      <c r="F38" s="17">
        <v>23.780277777999999</v>
      </c>
      <c r="G38" s="5">
        <v>17</v>
      </c>
      <c r="H38" s="5">
        <v>1</v>
      </c>
      <c r="I38" s="4" t="s">
        <v>142</v>
      </c>
      <c r="J38" s="6">
        <v>24</v>
      </c>
      <c r="K38" s="6">
        <v>20.5</v>
      </c>
      <c r="L38" s="6">
        <v>150</v>
      </c>
      <c r="M38" s="6">
        <v>200</v>
      </c>
      <c r="N38" s="7">
        <v>100</v>
      </c>
      <c r="O38" s="6">
        <v>0.18</v>
      </c>
      <c r="P38" s="6">
        <v>3</v>
      </c>
      <c r="Q38" s="6">
        <v>1</v>
      </c>
      <c r="R38" s="6">
        <v>0</v>
      </c>
      <c r="S38" s="6">
        <v>2</v>
      </c>
      <c r="T38" s="6">
        <v>3</v>
      </c>
      <c r="U38" s="6">
        <v>2</v>
      </c>
      <c r="V38" s="6">
        <v>3</v>
      </c>
      <c r="W38" s="6">
        <v>1</v>
      </c>
      <c r="X38" s="6">
        <v>1</v>
      </c>
      <c r="Y38" s="6">
        <v>0</v>
      </c>
      <c r="Z38" s="6">
        <v>1</v>
      </c>
      <c r="AA38" s="6">
        <v>5</v>
      </c>
      <c r="AB38" s="6">
        <v>1</v>
      </c>
      <c r="AC38" s="6">
        <v>3</v>
      </c>
      <c r="AD38" s="6">
        <v>0</v>
      </c>
      <c r="AE38" s="6">
        <v>6</v>
      </c>
      <c r="AF38" s="6">
        <v>7.6</v>
      </c>
      <c r="AG38" s="8">
        <v>1162</v>
      </c>
      <c r="AH38" s="6">
        <v>2.5</v>
      </c>
      <c r="AI38" s="6">
        <v>20</v>
      </c>
      <c r="AJ38" s="6">
        <v>1.2</v>
      </c>
      <c r="AK38" s="5">
        <v>20</v>
      </c>
      <c r="AL38" s="5">
        <v>176</v>
      </c>
      <c r="AM38" s="5">
        <v>0.01</v>
      </c>
      <c r="AN38" s="5">
        <v>0.37</v>
      </c>
      <c r="AO38" s="5">
        <v>2.84</v>
      </c>
      <c r="AP38" s="5">
        <v>200</v>
      </c>
      <c r="AQ38" s="5">
        <v>7.0000000000000007E-2</v>
      </c>
      <c r="AR38" s="5">
        <v>785</v>
      </c>
    </row>
    <row r="39" spans="1:44" ht="15.75" x14ac:dyDescent="0.25">
      <c r="A39" s="4" t="s">
        <v>61</v>
      </c>
      <c r="B39" s="4" t="str">
        <f t="shared" si="0"/>
        <v>P</v>
      </c>
      <c r="C39" s="4" t="s">
        <v>147</v>
      </c>
      <c r="D39" s="12" t="s">
        <v>86</v>
      </c>
      <c r="E39" s="17">
        <v>-99.107222199999995</v>
      </c>
      <c r="F39" s="17">
        <v>23.9725</v>
      </c>
      <c r="G39" s="5">
        <v>185</v>
      </c>
      <c r="H39" s="5">
        <v>1</v>
      </c>
      <c r="I39" s="4" t="s">
        <v>142</v>
      </c>
      <c r="J39" s="6">
        <v>29</v>
      </c>
      <c r="K39" s="6">
        <v>26</v>
      </c>
      <c r="L39" s="6">
        <v>36.700000000000003</v>
      </c>
      <c r="M39" s="6">
        <v>96</v>
      </c>
      <c r="N39" s="7">
        <v>42</v>
      </c>
      <c r="O39" s="6">
        <v>9.0999999999999998E-2</v>
      </c>
      <c r="P39" s="6">
        <v>2</v>
      </c>
      <c r="Q39" s="6">
        <v>3</v>
      </c>
      <c r="R39" s="6">
        <v>1</v>
      </c>
      <c r="S39" s="6">
        <v>2</v>
      </c>
      <c r="T39" s="6">
        <v>2</v>
      </c>
      <c r="U39" s="6">
        <v>0</v>
      </c>
      <c r="V39" s="6">
        <v>1</v>
      </c>
      <c r="W39" s="6">
        <v>1</v>
      </c>
      <c r="X39" s="6">
        <v>3</v>
      </c>
      <c r="Y39" s="6">
        <v>0</v>
      </c>
      <c r="Z39" s="6">
        <v>1</v>
      </c>
      <c r="AA39" s="6">
        <v>5</v>
      </c>
      <c r="AB39" s="6">
        <v>1</v>
      </c>
      <c r="AC39" s="6">
        <v>2</v>
      </c>
      <c r="AD39" s="6">
        <v>1</v>
      </c>
      <c r="AE39" s="6">
        <v>5</v>
      </c>
      <c r="AF39" s="6">
        <v>7</v>
      </c>
      <c r="AG39" s="8">
        <v>1018</v>
      </c>
      <c r="AH39" s="6">
        <v>3</v>
      </c>
      <c r="AI39" s="6">
        <v>68</v>
      </c>
      <c r="AJ39" s="6">
        <v>5.2</v>
      </c>
      <c r="AK39" s="5">
        <v>20.5</v>
      </c>
      <c r="AL39" s="5">
        <v>250</v>
      </c>
      <c r="AM39" s="5">
        <v>0.01</v>
      </c>
      <c r="AN39" s="5">
        <v>1.63</v>
      </c>
      <c r="AO39" s="5">
        <v>5</v>
      </c>
      <c r="AP39" s="5">
        <v>261</v>
      </c>
      <c r="AQ39" s="5">
        <v>0.35</v>
      </c>
      <c r="AR39" s="5">
        <v>597</v>
      </c>
    </row>
    <row r="40" spans="1:44" ht="15.75" x14ac:dyDescent="0.25">
      <c r="A40" s="4" t="s">
        <v>71</v>
      </c>
      <c r="B40" s="4" t="str">
        <f t="shared" si="0"/>
        <v>P</v>
      </c>
      <c r="C40" s="4" t="s">
        <v>147</v>
      </c>
      <c r="D40" s="12" t="s">
        <v>86</v>
      </c>
      <c r="E40" s="17">
        <v>-98.938055599999998</v>
      </c>
      <c r="F40" s="17">
        <v>23.94</v>
      </c>
      <c r="G40" s="5">
        <v>154</v>
      </c>
      <c r="H40" s="5">
        <v>1</v>
      </c>
      <c r="I40" s="4" t="s">
        <v>142</v>
      </c>
      <c r="J40" s="6">
        <v>37</v>
      </c>
      <c r="K40" s="6">
        <v>29</v>
      </c>
      <c r="L40" s="6">
        <v>16</v>
      </c>
      <c r="M40" s="6">
        <v>38</v>
      </c>
      <c r="N40" s="7">
        <v>11</v>
      </c>
      <c r="O40" s="6">
        <v>1.6E-2</v>
      </c>
      <c r="P40" s="6">
        <v>2</v>
      </c>
      <c r="Q40" s="6">
        <v>0</v>
      </c>
      <c r="R40" s="6">
        <v>0</v>
      </c>
      <c r="S40" s="6">
        <v>2</v>
      </c>
      <c r="T40" s="6">
        <v>3</v>
      </c>
      <c r="U40" s="6">
        <v>2</v>
      </c>
      <c r="V40" s="6">
        <v>2</v>
      </c>
      <c r="W40" s="6">
        <v>1</v>
      </c>
      <c r="X40" s="6">
        <v>1</v>
      </c>
      <c r="Y40" s="6">
        <v>0</v>
      </c>
      <c r="Z40" s="6">
        <v>1</v>
      </c>
      <c r="AA40" s="6">
        <v>5</v>
      </c>
      <c r="AB40" s="6">
        <v>3</v>
      </c>
      <c r="AC40" s="6">
        <v>2</v>
      </c>
      <c r="AD40" s="6">
        <v>0</v>
      </c>
      <c r="AE40" s="6">
        <v>5</v>
      </c>
      <c r="AF40" s="6">
        <v>7.6</v>
      </c>
      <c r="AG40" s="8">
        <v>1323</v>
      </c>
      <c r="AH40" s="6">
        <v>2</v>
      </c>
      <c r="AI40" s="6">
        <v>38</v>
      </c>
      <c r="AJ40" s="6">
        <v>7.7</v>
      </c>
      <c r="AK40" s="5">
        <v>31</v>
      </c>
      <c r="AL40" s="5">
        <v>232</v>
      </c>
      <c r="AM40" s="5">
        <v>0.01</v>
      </c>
      <c r="AN40" s="5">
        <v>1.63</v>
      </c>
      <c r="AO40" s="5">
        <v>1.1950000000000001</v>
      </c>
      <c r="AP40" s="5">
        <v>224</v>
      </c>
      <c r="AQ40" s="5">
        <v>0.4</v>
      </c>
      <c r="AR40" s="5">
        <v>782</v>
      </c>
    </row>
    <row r="41" spans="1:44" ht="15.75" x14ac:dyDescent="0.25">
      <c r="A41" s="4" t="s">
        <v>73</v>
      </c>
      <c r="B41" s="4" t="str">
        <f t="shared" si="0"/>
        <v>P</v>
      </c>
      <c r="C41" s="4" t="s">
        <v>147</v>
      </c>
      <c r="D41" s="12" t="s">
        <v>88</v>
      </c>
      <c r="E41" s="17">
        <v>-98.027500000000003</v>
      </c>
      <c r="F41" s="17">
        <v>23.473888889000001</v>
      </c>
      <c r="G41" s="11">
        <v>58</v>
      </c>
      <c r="H41" s="11">
        <v>1</v>
      </c>
      <c r="I41" s="4" t="s">
        <v>142</v>
      </c>
      <c r="J41" s="6">
        <v>36</v>
      </c>
      <c r="K41" s="6">
        <v>31.5</v>
      </c>
      <c r="L41" s="6">
        <v>11</v>
      </c>
      <c r="M41" s="6">
        <v>24</v>
      </c>
      <c r="N41" s="7">
        <v>4.75</v>
      </c>
      <c r="O41" s="6">
        <v>3.4000000000000002E-2</v>
      </c>
      <c r="P41" s="6">
        <v>3</v>
      </c>
      <c r="Q41" s="6">
        <v>3</v>
      </c>
      <c r="R41" s="6">
        <v>2</v>
      </c>
      <c r="S41" s="6">
        <v>2</v>
      </c>
      <c r="T41" s="6">
        <v>3</v>
      </c>
      <c r="U41" s="6">
        <v>2</v>
      </c>
      <c r="V41" s="6">
        <v>3</v>
      </c>
      <c r="W41" s="6">
        <v>2</v>
      </c>
      <c r="X41" s="6">
        <v>1</v>
      </c>
      <c r="Y41" s="6">
        <v>0</v>
      </c>
      <c r="Z41" s="6">
        <v>2</v>
      </c>
      <c r="AA41" s="6">
        <v>5</v>
      </c>
      <c r="AB41" s="6">
        <v>2</v>
      </c>
      <c r="AC41" s="6">
        <v>2</v>
      </c>
      <c r="AD41" s="6">
        <v>1</v>
      </c>
      <c r="AE41" s="6">
        <v>4</v>
      </c>
      <c r="AF41" s="6">
        <v>6.5</v>
      </c>
      <c r="AG41" s="8">
        <v>334</v>
      </c>
      <c r="AH41" s="6">
        <v>2</v>
      </c>
      <c r="AI41" s="6">
        <v>30</v>
      </c>
      <c r="AJ41" s="6">
        <v>13.95</v>
      </c>
      <c r="AK41" s="5">
        <v>0</v>
      </c>
      <c r="AL41" s="5">
        <v>124</v>
      </c>
      <c r="AM41" s="5">
        <v>0.03</v>
      </c>
      <c r="AN41" s="5">
        <v>9.5000000000000001E-2</v>
      </c>
      <c r="AO41" s="5">
        <v>1.125</v>
      </c>
      <c r="AP41" s="5">
        <v>131.5</v>
      </c>
      <c r="AQ41" s="5">
        <v>0.3</v>
      </c>
      <c r="AR41" s="5">
        <v>177.25</v>
      </c>
    </row>
    <row r="42" spans="1:44" ht="18.75" x14ac:dyDescent="0.3">
      <c r="A42" s="4" t="s">
        <v>77</v>
      </c>
      <c r="B42" s="4" t="str">
        <f>RIGHT(A42,2)</f>
        <v>RM</v>
      </c>
      <c r="C42" s="4" t="s">
        <v>148</v>
      </c>
      <c r="D42" s="12" t="s">
        <v>87</v>
      </c>
      <c r="E42" s="17">
        <v>-97.908611100000002</v>
      </c>
      <c r="F42" s="17">
        <v>23.797777778</v>
      </c>
      <c r="G42" s="11">
        <v>7</v>
      </c>
      <c r="H42" s="11">
        <v>0</v>
      </c>
      <c r="I42" s="18" t="s">
        <v>141</v>
      </c>
      <c r="J42" s="6">
        <v>26</v>
      </c>
      <c r="K42" s="6">
        <v>25</v>
      </c>
      <c r="L42" s="6">
        <v>600</v>
      </c>
      <c r="M42" s="6">
        <v>600</v>
      </c>
      <c r="N42" s="6">
        <v>150</v>
      </c>
      <c r="O42" s="6">
        <v>0.2</v>
      </c>
      <c r="P42" s="6">
        <v>3</v>
      </c>
      <c r="Q42" s="6">
        <v>0</v>
      </c>
      <c r="R42" s="6">
        <v>0</v>
      </c>
      <c r="S42" s="6">
        <v>3</v>
      </c>
      <c r="T42" s="6">
        <v>2</v>
      </c>
      <c r="U42" s="6">
        <v>3</v>
      </c>
      <c r="V42" s="6">
        <v>2</v>
      </c>
      <c r="W42" s="6">
        <v>0</v>
      </c>
      <c r="X42" s="6">
        <v>0</v>
      </c>
      <c r="Y42" s="6">
        <v>0</v>
      </c>
      <c r="Z42" s="6">
        <v>1</v>
      </c>
      <c r="AA42" s="6">
        <v>5</v>
      </c>
      <c r="AB42" s="6">
        <v>1</v>
      </c>
      <c r="AC42" s="6">
        <v>3</v>
      </c>
      <c r="AD42" s="6">
        <v>0</v>
      </c>
      <c r="AE42" s="6">
        <v>6</v>
      </c>
      <c r="AF42" s="6">
        <v>7.4</v>
      </c>
      <c r="AG42" s="6">
        <v>1500</v>
      </c>
      <c r="AH42" s="6">
        <v>26</v>
      </c>
      <c r="AI42" s="6">
        <v>15</v>
      </c>
      <c r="AJ42" s="6">
        <v>9.6</v>
      </c>
      <c r="AK42" s="5">
        <v>6.5</v>
      </c>
      <c r="AL42" s="5">
        <v>153.5</v>
      </c>
      <c r="AM42" s="10">
        <v>4.4999999999999998E-2</v>
      </c>
      <c r="AN42" s="10">
        <v>0.185</v>
      </c>
      <c r="AO42" s="5">
        <v>1.98</v>
      </c>
      <c r="AP42" s="5">
        <v>400</v>
      </c>
      <c r="AQ42" s="5">
        <v>0.4</v>
      </c>
      <c r="AR42" s="5">
        <v>785</v>
      </c>
    </row>
    <row r="43" spans="1:44" ht="18.75" x14ac:dyDescent="0.3">
      <c r="A43" s="4" t="s">
        <v>78</v>
      </c>
      <c r="B43" s="4" t="str">
        <f>RIGHT(A43,2)</f>
        <v>RM</v>
      </c>
      <c r="C43" s="4" t="s">
        <v>148</v>
      </c>
      <c r="D43" s="12" t="s">
        <v>87</v>
      </c>
      <c r="E43" s="17">
        <v>-97.736666700000001</v>
      </c>
      <c r="F43" s="17">
        <v>23.773888888999998</v>
      </c>
      <c r="G43" s="5">
        <v>2</v>
      </c>
      <c r="H43" s="5">
        <v>0</v>
      </c>
      <c r="I43" s="18" t="s">
        <v>141</v>
      </c>
      <c r="J43" s="5">
        <v>24.4</v>
      </c>
      <c r="K43" s="5">
        <v>20</v>
      </c>
      <c r="L43" s="5">
        <v>100</v>
      </c>
      <c r="M43" s="5">
        <v>100</v>
      </c>
      <c r="N43" s="5">
        <v>200</v>
      </c>
      <c r="O43" s="5">
        <v>0.3</v>
      </c>
      <c r="P43" s="5">
        <v>3</v>
      </c>
      <c r="Q43" s="5">
        <v>0</v>
      </c>
      <c r="R43" s="5">
        <v>0</v>
      </c>
      <c r="S43" s="5">
        <v>0</v>
      </c>
      <c r="T43" s="5">
        <v>3</v>
      </c>
      <c r="U43" s="5">
        <v>0</v>
      </c>
      <c r="V43" s="5">
        <v>0</v>
      </c>
      <c r="W43" s="5">
        <v>3</v>
      </c>
      <c r="X43" s="5">
        <v>0</v>
      </c>
      <c r="Y43" s="5">
        <v>0</v>
      </c>
      <c r="Z43" s="5">
        <v>0</v>
      </c>
      <c r="AA43" s="5">
        <v>5</v>
      </c>
      <c r="AB43" s="5">
        <v>0</v>
      </c>
      <c r="AC43" s="5">
        <v>3</v>
      </c>
      <c r="AD43" s="5">
        <v>0</v>
      </c>
      <c r="AE43" s="5">
        <v>8</v>
      </c>
      <c r="AF43" s="5">
        <v>8</v>
      </c>
      <c r="AG43" s="5">
        <v>1500</v>
      </c>
      <c r="AH43" s="5">
        <v>22.5</v>
      </c>
      <c r="AI43" s="5">
        <v>600</v>
      </c>
      <c r="AJ43" s="5">
        <v>5.85</v>
      </c>
      <c r="AK43" s="5">
        <v>7.5</v>
      </c>
      <c r="AL43" s="5">
        <v>126</v>
      </c>
      <c r="AM43" s="5">
        <v>0.02</v>
      </c>
      <c r="AN43" s="5">
        <v>6.5000000000000002E-2</v>
      </c>
      <c r="AO43" s="5">
        <v>2.29</v>
      </c>
      <c r="AP43" s="5">
        <v>900</v>
      </c>
      <c r="AQ43" s="10">
        <v>8.4999999999999992E-2</v>
      </c>
      <c r="AR43" s="5">
        <v>785</v>
      </c>
    </row>
  </sheetData>
  <autoFilter ref="A1:AR1" xr:uid="{00000000-0001-0000-0000-000000000000}">
    <sortState xmlns:xlrd2="http://schemas.microsoft.com/office/spreadsheetml/2017/richdata2" ref="A2:AR43">
      <sortCondition ref="B1"/>
    </sortState>
  </autoFilter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C126-D87E-45A1-B103-AD4349AA5E45}">
  <dimension ref="A1:CK43"/>
  <sheetViews>
    <sheetView topLeftCell="BY1" workbookViewId="0">
      <selection activeCell="CC21" sqref="CC21"/>
    </sheetView>
  </sheetViews>
  <sheetFormatPr baseColWidth="10" defaultRowHeight="15" x14ac:dyDescent="0.25"/>
  <cols>
    <col min="1" max="1" width="5.85546875" bestFit="1" customWidth="1"/>
    <col min="2" max="2" width="6.28515625" bestFit="1" customWidth="1"/>
    <col min="3" max="3" width="15.7109375" bestFit="1" customWidth="1"/>
    <col min="4" max="4" width="11.85546875" bestFit="1" customWidth="1"/>
    <col min="5" max="5" width="19.28515625" bestFit="1" customWidth="1"/>
    <col min="6" max="6" width="13.42578125" bestFit="1" customWidth="1"/>
    <col min="7" max="7" width="15.42578125" bestFit="1" customWidth="1"/>
    <col min="8" max="8" width="19.140625" bestFit="1" customWidth="1"/>
    <col min="9" max="9" width="15.7109375" bestFit="1" customWidth="1"/>
    <col min="10" max="10" width="16.7109375" bestFit="1" customWidth="1"/>
    <col min="11" max="11" width="17.7109375" bestFit="1" customWidth="1"/>
    <col min="12" max="12" width="19.140625" bestFit="1" customWidth="1"/>
    <col min="13" max="13" width="21.7109375" bestFit="1" customWidth="1"/>
    <col min="14" max="14" width="20.140625" bestFit="1" customWidth="1"/>
    <col min="15" max="15" width="17.85546875" bestFit="1" customWidth="1"/>
    <col min="16" max="16" width="21.42578125" bestFit="1" customWidth="1"/>
    <col min="17" max="17" width="22.7109375" bestFit="1" customWidth="1"/>
    <col min="18" max="18" width="18.7109375" bestFit="1" customWidth="1"/>
    <col min="19" max="19" width="15.5703125" bestFit="1" customWidth="1"/>
    <col min="20" max="20" width="15.85546875" customWidth="1"/>
    <col min="21" max="21" width="25.7109375" bestFit="1" customWidth="1"/>
    <col min="22" max="22" width="22" bestFit="1" customWidth="1"/>
    <col min="23" max="23" width="19.85546875" bestFit="1" customWidth="1"/>
    <col min="24" max="24" width="12.85546875" bestFit="1" customWidth="1"/>
    <col min="25" max="25" width="15.28515625" bestFit="1" customWidth="1"/>
    <col min="26" max="26" width="15.85546875" bestFit="1" customWidth="1"/>
    <col min="27" max="27" width="14.28515625" bestFit="1" customWidth="1"/>
    <col min="28" max="28" width="18.28515625" bestFit="1" customWidth="1"/>
    <col min="29" max="29" width="11.5703125" bestFit="1" customWidth="1"/>
    <col min="30" max="30" width="16.5703125" bestFit="1" customWidth="1"/>
    <col min="31" max="31" width="16.28515625" bestFit="1" customWidth="1"/>
    <col min="32" max="32" width="21" bestFit="1" customWidth="1"/>
    <col min="33" max="33" width="16.7109375" bestFit="1" customWidth="1"/>
    <col min="34" max="34" width="13.5703125" bestFit="1" customWidth="1"/>
    <col min="35" max="35" width="18.7109375" bestFit="1" customWidth="1"/>
    <col min="36" max="36" width="17.28515625" bestFit="1" customWidth="1"/>
    <col min="37" max="37" width="24.140625" bestFit="1" customWidth="1"/>
    <col min="38" max="38" width="26.140625" bestFit="1" customWidth="1"/>
    <col min="39" max="39" width="16.140625" bestFit="1" customWidth="1"/>
    <col min="40" max="40" width="13.28515625" bestFit="1" customWidth="1"/>
    <col min="41" max="42" width="15.85546875" bestFit="1" customWidth="1"/>
    <col min="43" max="43" width="16.42578125" bestFit="1" customWidth="1"/>
    <col min="44" max="44" width="13.28515625" bestFit="1" customWidth="1"/>
    <col min="45" max="45" width="15.7109375" bestFit="1" customWidth="1"/>
    <col min="46" max="46" width="16.42578125" bestFit="1" customWidth="1"/>
    <col min="47" max="47" width="17" bestFit="1" customWidth="1"/>
    <col min="48" max="48" width="11.85546875" bestFit="1" customWidth="1"/>
    <col min="49" max="49" width="20.28515625" bestFit="1" customWidth="1"/>
    <col min="50" max="50" width="15.140625" bestFit="1" customWidth="1"/>
    <col min="51" max="51" width="24.85546875" bestFit="1" customWidth="1"/>
    <col min="52" max="52" width="19.7109375" bestFit="1" customWidth="1"/>
    <col min="53" max="53" width="21.42578125" bestFit="1" customWidth="1"/>
    <col min="54" max="54" width="19.7109375" bestFit="1" customWidth="1"/>
    <col min="55" max="55" width="16.140625" bestFit="1" customWidth="1"/>
    <col min="56" max="56" width="12.85546875" bestFit="1" customWidth="1"/>
    <col min="57" max="57" width="13.85546875" bestFit="1" customWidth="1"/>
    <col min="58" max="58" width="12.140625" bestFit="1" customWidth="1"/>
    <col min="59" max="59" width="17" bestFit="1" customWidth="1"/>
    <col min="60" max="60" width="20.28515625" bestFit="1" customWidth="1"/>
    <col min="61" max="61" width="19.140625" bestFit="1" customWidth="1"/>
    <col min="62" max="62" width="21.5703125" bestFit="1" customWidth="1"/>
    <col min="63" max="63" width="20.28515625" bestFit="1" customWidth="1"/>
    <col min="64" max="64" width="15.5703125" bestFit="1" customWidth="1"/>
    <col min="65" max="65" width="17.140625" bestFit="1" customWidth="1"/>
    <col min="66" max="66" width="19.5703125" bestFit="1" customWidth="1"/>
    <col min="67" max="67" width="27" bestFit="1" customWidth="1"/>
    <col min="68" max="68" width="15.85546875" bestFit="1" customWidth="1"/>
    <col min="69" max="69" width="26" bestFit="1" customWidth="1"/>
    <col min="70" max="70" width="27.42578125" bestFit="1" customWidth="1"/>
    <col min="71" max="71" width="20.140625" bestFit="1" customWidth="1"/>
    <col min="72" max="72" width="21.42578125" bestFit="1" customWidth="1"/>
    <col min="73" max="73" width="18.5703125" bestFit="1" customWidth="1"/>
    <col min="74" max="74" width="17.42578125" bestFit="1" customWidth="1"/>
    <col min="75" max="75" width="19.28515625" bestFit="1" customWidth="1"/>
    <col min="76" max="76" width="20.140625" bestFit="1" customWidth="1"/>
    <col min="77" max="77" width="21" bestFit="1" customWidth="1"/>
    <col min="78" max="78" width="23.7109375" bestFit="1" customWidth="1"/>
    <col min="79" max="79" width="16.28515625" bestFit="1" customWidth="1"/>
    <col min="80" max="80" width="19.28515625" bestFit="1" customWidth="1"/>
    <col min="81" max="81" width="23.5703125" bestFit="1" customWidth="1"/>
    <col min="82" max="82" width="19" bestFit="1" customWidth="1"/>
    <col min="83" max="83" width="20.28515625" bestFit="1" customWidth="1"/>
    <col min="84" max="84" width="20.42578125" bestFit="1" customWidth="1"/>
    <col min="85" max="85" width="21.28515625" bestFit="1" customWidth="1"/>
    <col min="86" max="86" width="22.42578125" bestFit="1" customWidth="1"/>
    <col min="87" max="87" width="17" bestFit="1" customWidth="1"/>
    <col min="88" max="88" width="15.5703125" bestFit="1" customWidth="1"/>
    <col min="89" max="89" width="20.7109375" bestFit="1" customWidth="1"/>
  </cols>
  <sheetData>
    <row r="1" spans="1:89" s="19" customFormat="1" x14ac:dyDescent="0.25">
      <c r="A1" s="19" t="s">
        <v>149</v>
      </c>
      <c r="B1" s="19" t="s">
        <v>187</v>
      </c>
      <c r="C1" s="19" t="s">
        <v>150</v>
      </c>
      <c r="D1" s="19" t="s">
        <v>151</v>
      </c>
      <c r="E1" s="19" t="s">
        <v>212</v>
      </c>
      <c r="F1" s="19" t="s">
        <v>216</v>
      </c>
      <c r="G1" s="23" t="s">
        <v>221</v>
      </c>
      <c r="H1" s="19" t="s">
        <v>226</v>
      </c>
      <c r="I1" s="19" t="s">
        <v>230</v>
      </c>
      <c r="J1" s="19" t="s">
        <v>235</v>
      </c>
      <c r="K1" s="19" t="s">
        <v>238</v>
      </c>
      <c r="L1" s="19" t="s">
        <v>242</v>
      </c>
      <c r="M1" s="19" t="s">
        <v>152</v>
      </c>
      <c r="N1" s="19" t="s">
        <v>153</v>
      </c>
      <c r="O1" s="19" t="s">
        <v>248</v>
      </c>
      <c r="P1" s="19" t="s">
        <v>251</v>
      </c>
      <c r="Q1" s="19" t="s">
        <v>154</v>
      </c>
      <c r="R1" s="19" t="s">
        <v>258</v>
      </c>
      <c r="S1" s="19" t="s">
        <v>155</v>
      </c>
      <c r="T1" s="19" t="s">
        <v>182</v>
      </c>
      <c r="U1" s="23" t="s">
        <v>491</v>
      </c>
      <c r="V1" s="19" t="s">
        <v>156</v>
      </c>
      <c r="W1" s="19" t="s">
        <v>273</v>
      </c>
      <c r="X1" s="19" t="s">
        <v>277</v>
      </c>
      <c r="Y1" s="19" t="s">
        <v>157</v>
      </c>
      <c r="Z1" s="19" t="s">
        <v>158</v>
      </c>
      <c r="AA1" s="19" t="s">
        <v>288</v>
      </c>
      <c r="AB1" s="19" t="s">
        <v>292</v>
      </c>
      <c r="AC1" s="19" t="s">
        <v>183</v>
      </c>
      <c r="AD1" s="19" t="s">
        <v>159</v>
      </c>
      <c r="AE1" s="19" t="s">
        <v>301</v>
      </c>
      <c r="AF1" s="19" t="s">
        <v>305</v>
      </c>
      <c r="AG1" s="19" t="s">
        <v>309</v>
      </c>
      <c r="AH1" s="19" t="s">
        <v>314</v>
      </c>
      <c r="AI1" s="19" t="s">
        <v>318</v>
      </c>
      <c r="AJ1" s="19" t="s">
        <v>323</v>
      </c>
      <c r="AK1" s="19" t="s">
        <v>160</v>
      </c>
      <c r="AL1" s="19" t="s">
        <v>330</v>
      </c>
      <c r="AM1" s="19" t="s">
        <v>161</v>
      </c>
      <c r="AN1" s="19" t="s">
        <v>338</v>
      </c>
      <c r="AO1" s="19" t="s">
        <v>162</v>
      </c>
      <c r="AP1" s="19" t="s">
        <v>163</v>
      </c>
      <c r="AQ1" s="19" t="s">
        <v>347</v>
      </c>
      <c r="AR1" s="19" t="s">
        <v>350</v>
      </c>
      <c r="AS1" s="19" t="s">
        <v>164</v>
      </c>
      <c r="AT1" s="19" t="s">
        <v>165</v>
      </c>
      <c r="AU1" s="19" t="s">
        <v>166</v>
      </c>
      <c r="AV1" s="19" t="s">
        <v>184</v>
      </c>
      <c r="AW1" s="19" t="s">
        <v>360</v>
      </c>
      <c r="AX1" s="19" t="s">
        <v>363</v>
      </c>
      <c r="AY1" s="19" t="s">
        <v>367</v>
      </c>
      <c r="AZ1" s="19" t="s">
        <v>167</v>
      </c>
      <c r="BA1" s="19" t="s">
        <v>375</v>
      </c>
      <c r="BB1" s="19" t="s">
        <v>168</v>
      </c>
      <c r="BC1" s="19" t="s">
        <v>169</v>
      </c>
      <c r="BD1" s="19" t="s">
        <v>170</v>
      </c>
      <c r="BE1" s="19" t="s">
        <v>389</v>
      </c>
      <c r="BF1" s="19" t="s">
        <v>392</v>
      </c>
      <c r="BG1" s="19" t="s">
        <v>171</v>
      </c>
      <c r="BH1" s="19" t="s">
        <v>398</v>
      </c>
      <c r="BI1" s="19" t="s">
        <v>402</v>
      </c>
      <c r="BJ1" s="19" t="s">
        <v>405</v>
      </c>
      <c r="BK1" s="19" t="s">
        <v>409</v>
      </c>
      <c r="BL1" s="19" t="s">
        <v>412</v>
      </c>
      <c r="BM1" s="19" t="s">
        <v>415</v>
      </c>
      <c r="BN1" s="19" t="s">
        <v>419</v>
      </c>
      <c r="BO1" s="19" t="s">
        <v>422</v>
      </c>
      <c r="BP1" s="19" t="s">
        <v>425</v>
      </c>
      <c r="BQ1" s="23" t="s">
        <v>492</v>
      </c>
      <c r="BR1" s="19" t="s">
        <v>172</v>
      </c>
      <c r="BS1" s="19" t="s">
        <v>435</v>
      </c>
      <c r="BT1" s="19" t="s">
        <v>173</v>
      </c>
      <c r="BU1" s="19" t="s">
        <v>174</v>
      </c>
      <c r="BV1" s="19" t="s">
        <v>444</v>
      </c>
      <c r="BW1" s="19" t="s">
        <v>447</v>
      </c>
      <c r="BX1" s="19" t="s">
        <v>450</v>
      </c>
      <c r="BY1" s="19" t="s">
        <v>185</v>
      </c>
      <c r="BZ1" s="19" t="s">
        <v>175</v>
      </c>
      <c r="CA1" s="19" t="s">
        <v>457</v>
      </c>
      <c r="CB1" s="19" t="s">
        <v>176</v>
      </c>
      <c r="CC1" s="19" t="s">
        <v>177</v>
      </c>
      <c r="CD1" s="19" t="s">
        <v>178</v>
      </c>
      <c r="CE1" s="19" t="s">
        <v>179</v>
      </c>
      <c r="CF1" s="19" t="s">
        <v>180</v>
      </c>
      <c r="CG1" s="19" t="s">
        <v>181</v>
      </c>
      <c r="CH1" s="19" t="s">
        <v>476</v>
      </c>
      <c r="CI1" s="19" t="s">
        <v>480</v>
      </c>
      <c r="CJ1" s="19" t="s">
        <v>484</v>
      </c>
      <c r="CK1" s="23" t="s">
        <v>493</v>
      </c>
    </row>
    <row r="2" spans="1:89" x14ac:dyDescent="0.25">
      <c r="A2" t="s">
        <v>51</v>
      </c>
      <c r="B2" t="str">
        <f t="shared" ref="B2:B41" si="0">RIGHT(A2,1)</f>
        <v>M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79</v>
      </c>
      <c r="V2">
        <v>4</v>
      </c>
      <c r="W2">
        <v>27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30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 x14ac:dyDescent="0.25">
      <c r="A3" t="s">
        <v>52</v>
      </c>
      <c r="B3" t="str">
        <f t="shared" si="0"/>
        <v>M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38</v>
      </c>
      <c r="V3">
        <v>31</v>
      </c>
      <c r="W3">
        <v>6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 x14ac:dyDescent="0.25">
      <c r="A4" t="s">
        <v>55</v>
      </c>
      <c r="B4" t="str">
        <f t="shared" si="0"/>
        <v>M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</v>
      </c>
      <c r="V4">
        <v>5</v>
      </c>
      <c r="W4">
        <v>6</v>
      </c>
      <c r="X4">
        <v>0</v>
      </c>
      <c r="Y4">
        <v>0</v>
      </c>
      <c r="Z4">
        <v>0</v>
      </c>
      <c r="AA4">
        <v>0</v>
      </c>
      <c r="AB4">
        <v>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T4">
        <v>0</v>
      </c>
      <c r="AU4">
        <v>32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22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 x14ac:dyDescent="0.25">
      <c r="A5" t="s">
        <v>59</v>
      </c>
      <c r="B5" t="str">
        <f t="shared" si="0"/>
        <v>M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</v>
      </c>
      <c r="V5">
        <v>0</v>
      </c>
      <c r="W5">
        <v>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</v>
      </c>
      <c r="AT5">
        <v>0</v>
      </c>
      <c r="AU5">
        <v>106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13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 x14ac:dyDescent="0.25">
      <c r="A6" t="s">
        <v>37</v>
      </c>
      <c r="B6" t="str">
        <f t="shared" si="0"/>
        <v>M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>
        <v>0</v>
      </c>
      <c r="W6">
        <v>32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15</v>
      </c>
      <c r="AN6">
        <v>0</v>
      </c>
      <c r="AO6">
        <v>0</v>
      </c>
      <c r="AP6">
        <v>0</v>
      </c>
      <c r="AQ6">
        <v>0</v>
      </c>
      <c r="AR6">
        <v>0</v>
      </c>
      <c r="AS6">
        <v>5</v>
      </c>
      <c r="AT6">
        <v>0</v>
      </c>
      <c r="AU6">
        <v>21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4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 x14ac:dyDescent="0.25">
      <c r="A7" t="s">
        <v>48</v>
      </c>
      <c r="B7" t="str">
        <f t="shared" si="0"/>
        <v>M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9</v>
      </c>
      <c r="U7">
        <v>0</v>
      </c>
      <c r="V7">
        <v>45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25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9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 x14ac:dyDescent="0.25">
      <c r="A8" t="s">
        <v>38</v>
      </c>
      <c r="B8" t="str">
        <f t="shared" si="0"/>
        <v>M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10</v>
      </c>
      <c r="CC8">
        <v>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 x14ac:dyDescent="0.25">
      <c r="A9" t="s">
        <v>62</v>
      </c>
      <c r="B9" t="str">
        <f t="shared" si="0"/>
        <v>M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95</v>
      </c>
      <c r="U9">
        <v>0</v>
      </c>
      <c r="V9">
        <v>0</v>
      </c>
      <c r="W9">
        <v>4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16</v>
      </c>
      <c r="AN9">
        <v>0</v>
      </c>
      <c r="AO9">
        <v>0</v>
      </c>
      <c r="AP9">
        <v>0</v>
      </c>
      <c r="AQ9">
        <v>0</v>
      </c>
      <c r="AR9">
        <v>1</v>
      </c>
      <c r="AS9">
        <v>90</v>
      </c>
      <c r="AT9">
        <v>0</v>
      </c>
      <c r="AU9">
        <v>69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2</v>
      </c>
      <c r="BC9">
        <v>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54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 x14ac:dyDescent="0.25">
      <c r="A10" t="s">
        <v>43</v>
      </c>
      <c r="B10" t="str">
        <f t="shared" si="0"/>
        <v>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426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 x14ac:dyDescent="0.25">
      <c r="A11" t="s">
        <v>46</v>
      </c>
      <c r="B11" t="str">
        <f t="shared" si="0"/>
        <v>M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178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1372</v>
      </c>
      <c r="AR11">
        <v>0</v>
      </c>
      <c r="AS11">
        <v>76</v>
      </c>
      <c r="AT11">
        <v>0</v>
      </c>
      <c r="AU11">
        <v>164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8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315</v>
      </c>
      <c r="CD11">
        <v>20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 x14ac:dyDescent="0.25">
      <c r="A12" t="s">
        <v>39</v>
      </c>
      <c r="B12" t="str">
        <f t="shared" si="0"/>
        <v>M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 x14ac:dyDescent="0.25">
      <c r="A13" t="s">
        <v>40</v>
      </c>
      <c r="B13" t="str">
        <f t="shared" si="0"/>
        <v>M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48</v>
      </c>
      <c r="V13">
        <v>56</v>
      </c>
      <c r="W13">
        <v>41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432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143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 x14ac:dyDescent="0.25">
      <c r="A14" t="s">
        <v>50</v>
      </c>
      <c r="B14" t="str">
        <f t="shared" si="0"/>
        <v>M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529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38</v>
      </c>
      <c r="AP14">
        <v>0</v>
      </c>
      <c r="AQ14">
        <v>0</v>
      </c>
      <c r="AR14">
        <v>0</v>
      </c>
      <c r="AS14">
        <v>70</v>
      </c>
      <c r="AT14">
        <v>0</v>
      </c>
      <c r="AU14">
        <v>133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238</v>
      </c>
      <c r="CD14">
        <v>42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 x14ac:dyDescent="0.25">
      <c r="A15" t="s">
        <v>41</v>
      </c>
      <c r="B15" t="str">
        <f t="shared" si="0"/>
        <v>M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76</v>
      </c>
      <c r="V15">
        <v>17</v>
      </c>
      <c r="W15">
        <v>55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210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 x14ac:dyDescent="0.25">
      <c r="A16" t="s">
        <v>47</v>
      </c>
      <c r="B16" t="str">
        <f t="shared" si="0"/>
        <v>M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98</v>
      </c>
      <c r="V16">
        <v>6</v>
      </c>
      <c r="W16">
        <v>308</v>
      </c>
      <c r="X16">
        <v>0</v>
      </c>
      <c r="Y16">
        <v>0</v>
      </c>
      <c r="Z16">
        <v>0</v>
      </c>
      <c r="AA16">
        <v>0</v>
      </c>
      <c r="AB16">
        <v>0</v>
      </c>
      <c r="AC16">
        <v>7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30</v>
      </c>
      <c r="AT16">
        <v>0</v>
      </c>
      <c r="AU16">
        <v>972</v>
      </c>
      <c r="AV16">
        <v>0</v>
      </c>
      <c r="AW16">
        <v>107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145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 x14ac:dyDescent="0.25">
      <c r="A17" t="s">
        <v>57</v>
      </c>
      <c r="B17" t="str">
        <f t="shared" si="0"/>
        <v>M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</v>
      </c>
      <c r="V17">
        <v>1</v>
      </c>
      <c r="W17">
        <v>23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 x14ac:dyDescent="0.25">
      <c r="A18" t="s">
        <v>44</v>
      </c>
      <c r="B18" t="str">
        <f t="shared" si="0"/>
        <v>M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330</v>
      </c>
      <c r="V18">
        <v>0</v>
      </c>
      <c r="W18">
        <v>17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13</v>
      </c>
      <c r="AT18">
        <v>0</v>
      </c>
      <c r="AU18">
        <v>1</v>
      </c>
      <c r="AV18">
        <v>3</v>
      </c>
      <c r="AW18">
        <v>35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25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 x14ac:dyDescent="0.25">
      <c r="A19" t="s">
        <v>45</v>
      </c>
      <c r="B19" t="str">
        <f t="shared" si="0"/>
        <v>M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51</v>
      </c>
      <c r="V19">
        <v>0</v>
      </c>
      <c r="W19">
        <v>67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17</v>
      </c>
      <c r="AT19">
        <v>0</v>
      </c>
      <c r="AU19">
        <v>51</v>
      </c>
      <c r="AV19">
        <v>0</v>
      </c>
      <c r="AW19">
        <v>2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 x14ac:dyDescent="0.25">
      <c r="A20" t="s">
        <v>49</v>
      </c>
      <c r="B20" t="str">
        <f t="shared" si="0"/>
        <v>M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321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177</v>
      </c>
      <c r="AT20">
        <v>0</v>
      </c>
      <c r="AU20">
        <v>1543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76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 x14ac:dyDescent="0.25">
      <c r="A21" t="s">
        <v>42</v>
      </c>
      <c r="B21" t="str">
        <f t="shared" si="0"/>
        <v>M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250</v>
      </c>
      <c r="V21">
        <v>18</v>
      </c>
      <c r="W21">
        <v>47</v>
      </c>
      <c r="X21">
        <v>0</v>
      </c>
      <c r="Y21">
        <v>0</v>
      </c>
      <c r="Z21">
        <v>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14</v>
      </c>
      <c r="AP21">
        <v>0</v>
      </c>
      <c r="AQ21">
        <v>0</v>
      </c>
      <c r="AR21">
        <v>0</v>
      </c>
      <c r="AS21">
        <v>0</v>
      </c>
      <c r="AT21">
        <v>7</v>
      </c>
      <c r="AU21">
        <v>333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73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 x14ac:dyDescent="0.25">
      <c r="A22" t="s">
        <v>64</v>
      </c>
      <c r="B22" t="str">
        <f t="shared" si="0"/>
        <v>M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135</v>
      </c>
      <c r="AQ22">
        <v>63</v>
      </c>
      <c r="AR22">
        <v>0</v>
      </c>
      <c r="AS22">
        <v>124</v>
      </c>
      <c r="AT22">
        <v>0</v>
      </c>
      <c r="AU22">
        <v>74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3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36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 x14ac:dyDescent="0.25">
      <c r="A23" t="s">
        <v>53</v>
      </c>
      <c r="B23" t="str">
        <f t="shared" si="0"/>
        <v>M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475</v>
      </c>
      <c r="X23">
        <v>0</v>
      </c>
      <c r="Y23">
        <v>0</v>
      </c>
      <c r="Z23">
        <v>0</v>
      </c>
      <c r="AA23">
        <v>0</v>
      </c>
      <c r="AB23">
        <v>1</v>
      </c>
      <c r="AC23">
        <v>15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84</v>
      </c>
      <c r="AT23">
        <v>0</v>
      </c>
      <c r="AU23">
        <v>224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9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116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 x14ac:dyDescent="0.25">
      <c r="A24" t="s">
        <v>56</v>
      </c>
      <c r="B24" t="str">
        <f t="shared" si="0"/>
        <v>M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3</v>
      </c>
      <c r="AT24">
        <v>0</v>
      </c>
      <c r="AU24">
        <v>19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7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8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 x14ac:dyDescent="0.25">
      <c r="A25" t="s">
        <v>72</v>
      </c>
      <c r="B25" t="str">
        <f t="shared" si="0"/>
        <v>M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107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3</v>
      </c>
      <c r="AT25">
        <v>0</v>
      </c>
      <c r="AU25">
        <v>155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35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 x14ac:dyDescent="0.25">
      <c r="A26" t="s">
        <v>76</v>
      </c>
      <c r="B26" t="str">
        <f t="shared" si="0"/>
        <v>P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4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6</v>
      </c>
      <c r="BC26">
        <v>10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16</v>
      </c>
      <c r="CD26">
        <v>0</v>
      </c>
      <c r="CE26">
        <v>0</v>
      </c>
      <c r="CF26">
        <v>20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 x14ac:dyDescent="0.25">
      <c r="A27" t="s">
        <v>65</v>
      </c>
      <c r="B27" t="str">
        <f t="shared" si="0"/>
        <v>P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7</v>
      </c>
      <c r="N27">
        <v>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</v>
      </c>
      <c r="X27">
        <v>2</v>
      </c>
      <c r="Y27">
        <v>0</v>
      </c>
      <c r="Z27">
        <v>0</v>
      </c>
      <c r="AA27">
        <v>0</v>
      </c>
      <c r="AB27">
        <v>0</v>
      </c>
      <c r="AC27">
        <v>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7</v>
      </c>
      <c r="AS27">
        <v>20</v>
      </c>
      <c r="AT27">
        <v>0</v>
      </c>
      <c r="AU27">
        <v>13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</v>
      </c>
      <c r="BC27">
        <v>5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8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 x14ac:dyDescent="0.25">
      <c r="A28" t="s">
        <v>66</v>
      </c>
      <c r="B28" t="str">
        <f t="shared" si="0"/>
        <v>P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73</v>
      </c>
      <c r="N28">
        <v>213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40</v>
      </c>
      <c r="X28">
        <v>36</v>
      </c>
      <c r="Y28">
        <v>0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124</v>
      </c>
      <c r="AP28">
        <v>0</v>
      </c>
      <c r="AQ28">
        <v>0</v>
      </c>
      <c r="AR28">
        <v>0</v>
      </c>
      <c r="AS28">
        <v>17</v>
      </c>
      <c r="AT28">
        <v>2</v>
      </c>
      <c r="AU28">
        <v>7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4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7</v>
      </c>
      <c r="CD28">
        <v>6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 x14ac:dyDescent="0.25">
      <c r="A29" t="s">
        <v>58</v>
      </c>
      <c r="B29" t="str">
        <f t="shared" si="0"/>
        <v>P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19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186</v>
      </c>
      <c r="AM29">
        <v>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6</v>
      </c>
      <c r="AT29">
        <v>0</v>
      </c>
      <c r="AU29">
        <v>30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17</v>
      </c>
      <c r="BC29">
        <v>6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 x14ac:dyDescent="0.25">
      <c r="A30" t="s">
        <v>68</v>
      </c>
      <c r="B30" t="str">
        <f t="shared" si="0"/>
        <v>P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30</v>
      </c>
      <c r="R30">
        <v>0</v>
      </c>
      <c r="S30">
        <v>0</v>
      </c>
      <c r="T30">
        <v>0</v>
      </c>
      <c r="U30">
        <v>0</v>
      </c>
      <c r="V30">
        <v>0</v>
      </c>
      <c r="W30">
        <v>202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27</v>
      </c>
      <c r="AN30">
        <v>0</v>
      </c>
      <c r="AO30">
        <v>0</v>
      </c>
      <c r="AP30">
        <v>0</v>
      </c>
      <c r="AQ30">
        <v>0</v>
      </c>
      <c r="AR30">
        <v>278</v>
      </c>
      <c r="AS30">
        <v>41</v>
      </c>
      <c r="AT30">
        <v>10</v>
      </c>
      <c r="AU30">
        <v>630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18</v>
      </c>
      <c r="BC30">
        <v>328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21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 x14ac:dyDescent="0.25">
      <c r="A31" t="s">
        <v>69</v>
      </c>
      <c r="B31" t="str">
        <f t="shared" si="0"/>
        <v>P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29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9</v>
      </c>
      <c r="AP31">
        <v>0</v>
      </c>
      <c r="AQ31">
        <v>67</v>
      </c>
      <c r="AR31">
        <v>0</v>
      </c>
      <c r="AS31">
        <v>192</v>
      </c>
      <c r="AT31">
        <v>0</v>
      </c>
      <c r="AU31">
        <v>57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4</v>
      </c>
      <c r="BC31">
        <v>6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313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6</v>
      </c>
      <c r="CD31">
        <v>10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 x14ac:dyDescent="0.25">
      <c r="A32" t="s">
        <v>70</v>
      </c>
      <c r="B32" t="str">
        <f t="shared" si="0"/>
        <v>P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10</v>
      </c>
      <c r="AN32">
        <v>0</v>
      </c>
      <c r="AO32">
        <v>0</v>
      </c>
      <c r="AP32">
        <v>0</v>
      </c>
      <c r="AQ32">
        <v>0</v>
      </c>
      <c r="AR32">
        <v>13</v>
      </c>
      <c r="AS32">
        <v>108</v>
      </c>
      <c r="AT32">
        <v>18</v>
      </c>
      <c r="AU32">
        <v>25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</v>
      </c>
      <c r="BC32">
        <v>6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14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 x14ac:dyDescent="0.25">
      <c r="A33" t="s">
        <v>63</v>
      </c>
      <c r="B33" t="str">
        <f t="shared" si="0"/>
        <v>P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255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17</v>
      </c>
      <c r="AP33">
        <v>0</v>
      </c>
      <c r="AQ33">
        <v>12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13</v>
      </c>
      <c r="CD33">
        <v>95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 x14ac:dyDescent="0.25">
      <c r="A34" t="s">
        <v>60</v>
      </c>
      <c r="B34" t="str">
        <f t="shared" si="0"/>
        <v>P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122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206</v>
      </c>
      <c r="AS34">
        <v>36</v>
      </c>
      <c r="AT34">
        <v>4</v>
      </c>
      <c r="AU34">
        <v>45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 x14ac:dyDescent="0.25">
      <c r="A35" t="s">
        <v>67</v>
      </c>
      <c r="B35" t="str">
        <f t="shared" si="0"/>
        <v>P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16</v>
      </c>
      <c r="BC35">
        <v>20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5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 x14ac:dyDescent="0.25">
      <c r="A36" t="s">
        <v>54</v>
      </c>
      <c r="B36" t="str">
        <f t="shared" si="0"/>
        <v>P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10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</v>
      </c>
      <c r="AR36">
        <v>0</v>
      </c>
      <c r="AS36">
        <v>3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8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2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 x14ac:dyDescent="0.25">
      <c r="A37" t="s">
        <v>74</v>
      </c>
      <c r="B37" t="str">
        <f t="shared" si="0"/>
        <v>P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6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58</v>
      </c>
      <c r="AP37">
        <v>0</v>
      </c>
      <c r="AQ37">
        <v>0</v>
      </c>
      <c r="AR37">
        <v>0</v>
      </c>
      <c r="AS37">
        <v>25</v>
      </c>
      <c r="AT37">
        <v>3</v>
      </c>
      <c r="AU37">
        <v>14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23</v>
      </c>
      <c r="CC37">
        <v>0</v>
      </c>
      <c r="CD37">
        <v>6</v>
      </c>
      <c r="CE37">
        <v>0</v>
      </c>
      <c r="CF37">
        <v>10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 x14ac:dyDescent="0.25">
      <c r="A38" t="s">
        <v>75</v>
      </c>
      <c r="B38" t="str">
        <f t="shared" si="0"/>
        <v>P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3</v>
      </c>
      <c r="AV38">
        <v>0</v>
      </c>
      <c r="AW38">
        <v>0</v>
      </c>
      <c r="AX38">
        <v>0</v>
      </c>
      <c r="AY38">
        <v>12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7</v>
      </c>
      <c r="CF38">
        <v>10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 x14ac:dyDescent="0.25">
      <c r="A39" t="s">
        <v>61</v>
      </c>
      <c r="B39" t="str">
        <f t="shared" si="0"/>
        <v>P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71</v>
      </c>
      <c r="X39">
        <v>0</v>
      </c>
      <c r="Y39">
        <v>0</v>
      </c>
      <c r="Z39">
        <v>0</v>
      </c>
      <c r="AA39">
        <v>0</v>
      </c>
      <c r="AB39">
        <v>0</v>
      </c>
      <c r="AC39">
        <v>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15</v>
      </c>
      <c r="AS39">
        <v>6</v>
      </c>
      <c r="AT39">
        <v>0</v>
      </c>
      <c r="AU39">
        <v>6</v>
      </c>
      <c r="AV39">
        <v>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16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 x14ac:dyDescent="0.25">
      <c r="A40" t="s">
        <v>71</v>
      </c>
      <c r="B40" t="str">
        <f t="shared" si="0"/>
        <v>P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263</v>
      </c>
      <c r="AP40">
        <v>0</v>
      </c>
      <c r="AQ40">
        <v>0</v>
      </c>
      <c r="AR40">
        <v>0</v>
      </c>
      <c r="AS40">
        <v>42</v>
      </c>
      <c r="AT40">
        <v>0</v>
      </c>
      <c r="AU40">
        <v>125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139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 x14ac:dyDescent="0.25">
      <c r="A41" t="s">
        <v>73</v>
      </c>
      <c r="B41" t="str">
        <f t="shared" si="0"/>
        <v>P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>
        <v>0</v>
      </c>
      <c r="AT41">
        <v>0</v>
      </c>
      <c r="AU41">
        <v>14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5</v>
      </c>
      <c r="CE41">
        <v>0</v>
      </c>
      <c r="CF41">
        <v>5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 x14ac:dyDescent="0.25">
      <c r="A42" t="s">
        <v>77</v>
      </c>
      <c r="B42" t="str">
        <f>RIGHT(A42,2)</f>
        <v>RM</v>
      </c>
      <c r="C42">
        <v>10</v>
      </c>
      <c r="D42">
        <v>3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6</v>
      </c>
      <c r="L42">
        <v>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7</v>
      </c>
      <c r="AG42">
        <v>0</v>
      </c>
      <c r="AH42">
        <v>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3</v>
      </c>
      <c r="BE42">
        <v>3</v>
      </c>
      <c r="BF42">
        <v>3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3</v>
      </c>
      <c r="BM42">
        <v>1</v>
      </c>
      <c r="BN42">
        <v>0</v>
      </c>
      <c r="BO42">
        <v>0</v>
      </c>
      <c r="BP42">
        <v>0</v>
      </c>
      <c r="BQ42">
        <v>1</v>
      </c>
      <c r="BR42">
        <v>3</v>
      </c>
      <c r="BS42">
        <v>3</v>
      </c>
      <c r="BT42">
        <v>0</v>
      </c>
      <c r="BU42">
        <v>3</v>
      </c>
      <c r="BV42">
        <v>1</v>
      </c>
      <c r="BW42">
        <v>3</v>
      </c>
      <c r="BX42">
        <v>1</v>
      </c>
      <c r="BY42">
        <v>2</v>
      </c>
      <c r="BZ42">
        <v>0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 x14ac:dyDescent="0.25">
      <c r="A43" t="s">
        <v>78</v>
      </c>
      <c r="B43" t="str">
        <f>RIGHT(A43,2)</f>
        <v>RM</v>
      </c>
      <c r="C43">
        <v>0</v>
      </c>
      <c r="D43">
        <v>3</v>
      </c>
      <c r="E43">
        <v>0</v>
      </c>
      <c r="F43">
        <v>1</v>
      </c>
      <c r="G43">
        <v>1</v>
      </c>
      <c r="H43">
        <v>1</v>
      </c>
      <c r="I43">
        <v>17</v>
      </c>
      <c r="J43">
        <v>6</v>
      </c>
      <c r="K43">
        <v>3</v>
      </c>
      <c r="L43">
        <v>0</v>
      </c>
      <c r="M43">
        <v>0</v>
      </c>
      <c r="N43">
        <v>0</v>
      </c>
      <c r="O43">
        <v>29</v>
      </c>
      <c r="P43">
        <v>18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0</v>
      </c>
      <c r="AG43">
        <v>1</v>
      </c>
      <c r="AH43">
        <v>1</v>
      </c>
      <c r="AI43">
        <v>54</v>
      </c>
      <c r="AJ43">
        <v>0</v>
      </c>
      <c r="AK43">
        <v>1</v>
      </c>
      <c r="AL43">
        <v>27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2</v>
      </c>
      <c r="BF43">
        <v>1</v>
      </c>
      <c r="BG43">
        <v>7</v>
      </c>
      <c r="BH43">
        <v>21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2</v>
      </c>
      <c r="BO43">
        <v>58</v>
      </c>
      <c r="BP43">
        <v>5</v>
      </c>
      <c r="BQ43">
        <v>0</v>
      </c>
      <c r="BR43">
        <v>0</v>
      </c>
      <c r="BS43">
        <v>2</v>
      </c>
      <c r="BT43">
        <v>0</v>
      </c>
      <c r="BU43">
        <v>0</v>
      </c>
      <c r="BV43">
        <v>1</v>
      </c>
      <c r="BW43">
        <v>1</v>
      </c>
      <c r="BX43">
        <v>0</v>
      </c>
      <c r="BY43">
        <v>0</v>
      </c>
      <c r="BZ43">
        <v>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3</v>
      </c>
      <c r="CI43">
        <v>36</v>
      </c>
      <c r="CJ43">
        <v>2</v>
      </c>
      <c r="CK4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9EB9-56FD-43A3-8679-F7E13EA6AB5E}">
  <dimension ref="A1:C88"/>
  <sheetViews>
    <sheetView workbookViewId="0">
      <selection activeCell="B6" sqref="B6"/>
    </sheetView>
  </sheetViews>
  <sheetFormatPr baseColWidth="10" defaultRowHeight="15" x14ac:dyDescent="0.25"/>
  <cols>
    <col min="1" max="1" width="7.7109375" bestFit="1" customWidth="1"/>
    <col min="2" max="2" width="27.42578125" bestFit="1" customWidth="1"/>
  </cols>
  <sheetData>
    <row r="1" spans="1:3" x14ac:dyDescent="0.25">
      <c r="A1" s="20" t="s">
        <v>188</v>
      </c>
      <c r="B1" s="20" t="s">
        <v>189</v>
      </c>
      <c r="C1" s="19" t="s">
        <v>490</v>
      </c>
    </row>
    <row r="2" spans="1:3" x14ac:dyDescent="0.25">
      <c r="A2" t="s">
        <v>203</v>
      </c>
      <c r="B2" t="s">
        <v>150</v>
      </c>
      <c r="C2">
        <v>1</v>
      </c>
    </row>
    <row r="3" spans="1:3" x14ac:dyDescent="0.25">
      <c r="A3" t="s">
        <v>207</v>
      </c>
      <c r="B3" t="s">
        <v>151</v>
      </c>
      <c r="C3">
        <v>1</v>
      </c>
    </row>
    <row r="4" spans="1:3" x14ac:dyDescent="0.25">
      <c r="A4" t="s">
        <v>211</v>
      </c>
      <c r="B4" t="s">
        <v>212</v>
      </c>
      <c r="C4">
        <v>1</v>
      </c>
    </row>
    <row r="5" spans="1:3" x14ac:dyDescent="0.25">
      <c r="A5" t="s">
        <v>215</v>
      </c>
      <c r="B5" t="s">
        <v>216</v>
      </c>
      <c r="C5">
        <v>1</v>
      </c>
    </row>
    <row r="6" spans="1:3" x14ac:dyDescent="0.25">
      <c r="A6" t="s">
        <v>220</v>
      </c>
      <c r="B6" s="21" t="s">
        <v>221</v>
      </c>
      <c r="C6">
        <v>1</v>
      </c>
    </row>
    <row r="7" spans="1:3" x14ac:dyDescent="0.25">
      <c r="A7" t="s">
        <v>225</v>
      </c>
      <c r="B7" t="s">
        <v>226</v>
      </c>
      <c r="C7">
        <v>1</v>
      </c>
    </row>
    <row r="8" spans="1:3" x14ac:dyDescent="0.25">
      <c r="A8" t="s">
        <v>229</v>
      </c>
      <c r="B8" t="s">
        <v>230</v>
      </c>
      <c r="C8">
        <v>1</v>
      </c>
    </row>
    <row r="9" spans="1:3" x14ac:dyDescent="0.25">
      <c r="A9" t="s">
        <v>234</v>
      </c>
      <c r="B9" t="s">
        <v>235</v>
      </c>
      <c r="C9">
        <v>1</v>
      </c>
    </row>
    <row r="10" spans="1:3" x14ac:dyDescent="0.25">
      <c r="A10" t="s">
        <v>237</v>
      </c>
      <c r="B10" t="s">
        <v>238</v>
      </c>
      <c r="C10">
        <v>1</v>
      </c>
    </row>
    <row r="11" spans="1:3" x14ac:dyDescent="0.25">
      <c r="A11" t="s">
        <v>241</v>
      </c>
      <c r="B11" t="s">
        <v>242</v>
      </c>
      <c r="C11">
        <v>1</v>
      </c>
    </row>
    <row r="12" spans="1:3" x14ac:dyDescent="0.25">
      <c r="A12" t="s">
        <v>244</v>
      </c>
      <c r="B12" t="s">
        <v>152</v>
      </c>
      <c r="C12">
        <v>1</v>
      </c>
    </row>
    <row r="13" spans="1:3" x14ac:dyDescent="0.25">
      <c r="A13" t="s">
        <v>246</v>
      </c>
      <c r="B13" t="s">
        <v>153</v>
      </c>
      <c r="C13">
        <v>1</v>
      </c>
    </row>
    <row r="14" spans="1:3" x14ac:dyDescent="0.25">
      <c r="A14" t="s">
        <v>247</v>
      </c>
      <c r="B14" t="s">
        <v>248</v>
      </c>
      <c r="C14">
        <v>1</v>
      </c>
    </row>
    <row r="15" spans="1:3" x14ac:dyDescent="0.25">
      <c r="A15" t="s">
        <v>250</v>
      </c>
      <c r="B15" t="s">
        <v>251</v>
      </c>
      <c r="C15">
        <v>1</v>
      </c>
    </row>
    <row r="16" spans="1:3" x14ac:dyDescent="0.25">
      <c r="A16" t="s">
        <v>253</v>
      </c>
      <c r="B16" t="s">
        <v>154</v>
      </c>
      <c r="C16">
        <v>1</v>
      </c>
    </row>
    <row r="17" spans="1:3" x14ac:dyDescent="0.25">
      <c r="A17" t="s">
        <v>257</v>
      </c>
      <c r="B17" t="s">
        <v>258</v>
      </c>
      <c r="C17">
        <v>1</v>
      </c>
    </row>
    <row r="18" spans="1:3" x14ac:dyDescent="0.25">
      <c r="A18" t="s">
        <v>261</v>
      </c>
      <c r="B18" s="21" t="s">
        <v>155</v>
      </c>
      <c r="C18">
        <v>1</v>
      </c>
    </row>
    <row r="19" spans="1:3" x14ac:dyDescent="0.25">
      <c r="A19" t="s">
        <v>264</v>
      </c>
      <c r="B19" t="s">
        <v>182</v>
      </c>
      <c r="C19">
        <v>1</v>
      </c>
    </row>
    <row r="20" spans="1:3" x14ac:dyDescent="0.25">
      <c r="A20" s="24" t="s">
        <v>266</v>
      </c>
      <c r="B20" s="21" t="s">
        <v>491</v>
      </c>
      <c r="C20">
        <v>1</v>
      </c>
    </row>
    <row r="21" spans="1:3" x14ac:dyDescent="0.25">
      <c r="A21" t="s">
        <v>268</v>
      </c>
      <c r="B21" t="s">
        <v>156</v>
      </c>
      <c r="C21">
        <v>1</v>
      </c>
    </row>
    <row r="22" spans="1:3" x14ac:dyDescent="0.25">
      <c r="A22" t="s">
        <v>272</v>
      </c>
      <c r="B22" t="s">
        <v>273</v>
      </c>
      <c r="C22">
        <v>1</v>
      </c>
    </row>
    <row r="23" spans="1:3" x14ac:dyDescent="0.25">
      <c r="A23" t="s">
        <v>276</v>
      </c>
      <c r="B23" t="s">
        <v>277</v>
      </c>
      <c r="C23">
        <v>1</v>
      </c>
    </row>
    <row r="24" spans="1:3" x14ac:dyDescent="0.25">
      <c r="A24" t="s">
        <v>281</v>
      </c>
      <c r="B24" t="s">
        <v>157</v>
      </c>
      <c r="C24">
        <v>1</v>
      </c>
    </row>
    <row r="25" spans="1:3" x14ac:dyDescent="0.25">
      <c r="A25" t="s">
        <v>285</v>
      </c>
      <c r="B25" t="s">
        <v>158</v>
      </c>
      <c r="C25">
        <v>1</v>
      </c>
    </row>
    <row r="26" spans="1:3" x14ac:dyDescent="0.25">
      <c r="A26" t="s">
        <v>287</v>
      </c>
      <c r="B26" t="s">
        <v>288</v>
      </c>
      <c r="C26">
        <v>1</v>
      </c>
    </row>
    <row r="27" spans="1:3" x14ac:dyDescent="0.25">
      <c r="A27" t="s">
        <v>291</v>
      </c>
      <c r="B27" t="s">
        <v>292</v>
      </c>
      <c r="C27">
        <v>1</v>
      </c>
    </row>
    <row r="28" spans="1:3" x14ac:dyDescent="0.25">
      <c r="A28" t="s">
        <v>295</v>
      </c>
      <c r="B28" t="s">
        <v>183</v>
      </c>
      <c r="C28">
        <v>1</v>
      </c>
    </row>
    <row r="29" spans="1:3" x14ac:dyDescent="0.25">
      <c r="A29" t="s">
        <v>297</v>
      </c>
      <c r="B29" t="s">
        <v>159</v>
      </c>
      <c r="C29">
        <v>1</v>
      </c>
    </row>
    <row r="30" spans="1:3" x14ac:dyDescent="0.25">
      <c r="A30" t="s">
        <v>300</v>
      </c>
      <c r="B30" t="s">
        <v>301</v>
      </c>
      <c r="C30">
        <v>1</v>
      </c>
    </row>
    <row r="31" spans="1:3" x14ac:dyDescent="0.25">
      <c r="A31" t="s">
        <v>304</v>
      </c>
      <c r="B31" t="s">
        <v>305</v>
      </c>
      <c r="C31">
        <v>1</v>
      </c>
    </row>
    <row r="32" spans="1:3" x14ac:dyDescent="0.25">
      <c r="A32" t="s">
        <v>308</v>
      </c>
      <c r="B32" t="s">
        <v>309</v>
      </c>
      <c r="C32">
        <v>1</v>
      </c>
    </row>
    <row r="33" spans="1:3" x14ac:dyDescent="0.25">
      <c r="A33" t="s">
        <v>313</v>
      </c>
      <c r="B33" t="s">
        <v>314</v>
      </c>
      <c r="C33">
        <v>1</v>
      </c>
    </row>
    <row r="34" spans="1:3" x14ac:dyDescent="0.25">
      <c r="A34" t="s">
        <v>317</v>
      </c>
      <c r="B34" t="s">
        <v>318</v>
      </c>
      <c r="C34">
        <v>1</v>
      </c>
    </row>
    <row r="35" spans="1:3" x14ac:dyDescent="0.25">
      <c r="A35" t="s">
        <v>322</v>
      </c>
      <c r="B35" t="s">
        <v>323</v>
      </c>
      <c r="C35">
        <v>1</v>
      </c>
    </row>
    <row r="36" spans="1:3" x14ac:dyDescent="0.25">
      <c r="A36" t="s">
        <v>325</v>
      </c>
      <c r="B36" t="s">
        <v>160</v>
      </c>
      <c r="C36">
        <v>1</v>
      </c>
    </row>
    <row r="37" spans="1:3" x14ac:dyDescent="0.25">
      <c r="A37" t="s">
        <v>329</v>
      </c>
      <c r="B37" t="s">
        <v>330</v>
      </c>
      <c r="C37">
        <v>1</v>
      </c>
    </row>
    <row r="38" spans="1:3" x14ac:dyDescent="0.25">
      <c r="A38" t="s">
        <v>333</v>
      </c>
      <c r="B38" t="s">
        <v>161</v>
      </c>
      <c r="C38">
        <v>1</v>
      </c>
    </row>
    <row r="39" spans="1:3" x14ac:dyDescent="0.25">
      <c r="A39" t="s">
        <v>337</v>
      </c>
      <c r="B39" t="s">
        <v>338</v>
      </c>
      <c r="C39">
        <v>1</v>
      </c>
    </row>
    <row r="40" spans="1:3" x14ac:dyDescent="0.25">
      <c r="A40" t="s">
        <v>340</v>
      </c>
      <c r="B40" t="s">
        <v>162</v>
      </c>
      <c r="C40">
        <v>1</v>
      </c>
    </row>
    <row r="41" spans="1:3" x14ac:dyDescent="0.25">
      <c r="A41" t="s">
        <v>344</v>
      </c>
      <c r="B41" t="s">
        <v>163</v>
      </c>
      <c r="C41">
        <v>1</v>
      </c>
    </row>
    <row r="42" spans="1:3" x14ac:dyDescent="0.25">
      <c r="A42" t="s">
        <v>346</v>
      </c>
      <c r="B42" t="s">
        <v>347</v>
      </c>
      <c r="C42">
        <v>1</v>
      </c>
    </row>
    <row r="43" spans="1:3" x14ac:dyDescent="0.25">
      <c r="A43" t="s">
        <v>349</v>
      </c>
      <c r="B43" t="s">
        <v>350</v>
      </c>
      <c r="C43">
        <v>1</v>
      </c>
    </row>
    <row r="44" spans="1:3" x14ac:dyDescent="0.25">
      <c r="A44" t="s">
        <v>351</v>
      </c>
      <c r="B44" t="s">
        <v>164</v>
      </c>
      <c r="C44">
        <v>1</v>
      </c>
    </row>
    <row r="45" spans="1:3" x14ac:dyDescent="0.25">
      <c r="A45" t="s">
        <v>353</v>
      </c>
      <c r="B45" t="s">
        <v>165</v>
      </c>
      <c r="C45">
        <v>1</v>
      </c>
    </row>
    <row r="46" spans="1:3" x14ac:dyDescent="0.25">
      <c r="A46" t="s">
        <v>355</v>
      </c>
      <c r="B46" t="s">
        <v>166</v>
      </c>
      <c r="C46">
        <v>1</v>
      </c>
    </row>
    <row r="47" spans="1:3" x14ac:dyDescent="0.25">
      <c r="A47" t="s">
        <v>357</v>
      </c>
      <c r="B47" t="s">
        <v>184</v>
      </c>
      <c r="C47">
        <v>1</v>
      </c>
    </row>
    <row r="48" spans="1:3" x14ac:dyDescent="0.25">
      <c r="A48" t="s">
        <v>359</v>
      </c>
      <c r="B48" t="s">
        <v>360</v>
      </c>
      <c r="C48">
        <v>1</v>
      </c>
    </row>
    <row r="49" spans="1:3" x14ac:dyDescent="0.25">
      <c r="A49" t="s">
        <v>362</v>
      </c>
      <c r="B49" t="s">
        <v>363</v>
      </c>
      <c r="C49">
        <v>1</v>
      </c>
    </row>
    <row r="50" spans="1:3" x14ac:dyDescent="0.25">
      <c r="A50" t="s">
        <v>366</v>
      </c>
      <c r="B50" t="s">
        <v>367</v>
      </c>
      <c r="C50">
        <v>1</v>
      </c>
    </row>
    <row r="51" spans="1:3" x14ac:dyDescent="0.25">
      <c r="A51" t="s">
        <v>370</v>
      </c>
      <c r="B51" t="s">
        <v>167</v>
      </c>
      <c r="C51">
        <v>1</v>
      </c>
    </row>
    <row r="52" spans="1:3" x14ac:dyDescent="0.25">
      <c r="A52" t="s">
        <v>374</v>
      </c>
      <c r="B52" t="s">
        <v>375</v>
      </c>
      <c r="C52">
        <v>1</v>
      </c>
    </row>
    <row r="53" spans="1:3" x14ac:dyDescent="0.25">
      <c r="A53" t="s">
        <v>378</v>
      </c>
      <c r="B53" t="s">
        <v>168</v>
      </c>
      <c r="C53">
        <v>1</v>
      </c>
    </row>
    <row r="54" spans="1:3" x14ac:dyDescent="0.25">
      <c r="A54" t="s">
        <v>382</v>
      </c>
      <c r="B54" t="s">
        <v>169</v>
      </c>
      <c r="C54">
        <v>1</v>
      </c>
    </row>
    <row r="55" spans="1:3" x14ac:dyDescent="0.25">
      <c r="A55" t="s">
        <v>385</v>
      </c>
      <c r="B55" t="s">
        <v>170</v>
      </c>
      <c r="C55">
        <v>1</v>
      </c>
    </row>
    <row r="56" spans="1:3" x14ac:dyDescent="0.25">
      <c r="A56" t="s">
        <v>388</v>
      </c>
      <c r="B56" t="s">
        <v>389</v>
      </c>
      <c r="C56">
        <v>1</v>
      </c>
    </row>
    <row r="57" spans="1:3" x14ac:dyDescent="0.25">
      <c r="A57" t="s">
        <v>391</v>
      </c>
      <c r="B57" t="s">
        <v>392</v>
      </c>
      <c r="C57">
        <v>1</v>
      </c>
    </row>
    <row r="58" spans="1:3" x14ac:dyDescent="0.25">
      <c r="A58" t="s">
        <v>394</v>
      </c>
      <c r="B58" t="s">
        <v>171</v>
      </c>
      <c r="C58">
        <v>1</v>
      </c>
    </row>
    <row r="59" spans="1:3" x14ac:dyDescent="0.25">
      <c r="A59" t="s">
        <v>397</v>
      </c>
      <c r="B59" t="s">
        <v>398</v>
      </c>
      <c r="C59">
        <v>1</v>
      </c>
    </row>
    <row r="60" spans="1:3" x14ac:dyDescent="0.25">
      <c r="A60" t="s">
        <v>401</v>
      </c>
      <c r="B60" t="s">
        <v>402</v>
      </c>
      <c r="C60">
        <v>1</v>
      </c>
    </row>
    <row r="61" spans="1:3" x14ac:dyDescent="0.25">
      <c r="A61" t="s">
        <v>404</v>
      </c>
      <c r="B61" t="s">
        <v>405</v>
      </c>
      <c r="C61">
        <v>1</v>
      </c>
    </row>
    <row r="62" spans="1:3" x14ac:dyDescent="0.25">
      <c r="A62" t="s">
        <v>408</v>
      </c>
      <c r="B62" t="s">
        <v>409</v>
      </c>
      <c r="C62">
        <v>1</v>
      </c>
    </row>
    <row r="63" spans="1:3" x14ac:dyDescent="0.25">
      <c r="A63" t="s">
        <v>411</v>
      </c>
      <c r="B63" t="s">
        <v>412</v>
      </c>
      <c r="C63">
        <v>1</v>
      </c>
    </row>
    <row r="64" spans="1:3" x14ac:dyDescent="0.25">
      <c r="A64" t="s">
        <v>414</v>
      </c>
      <c r="B64" t="s">
        <v>415</v>
      </c>
      <c r="C64">
        <v>1</v>
      </c>
    </row>
    <row r="65" spans="1:3" x14ac:dyDescent="0.25">
      <c r="A65" t="s">
        <v>418</v>
      </c>
      <c r="B65" t="s">
        <v>419</v>
      </c>
      <c r="C65">
        <v>1</v>
      </c>
    </row>
    <row r="66" spans="1:3" x14ac:dyDescent="0.25">
      <c r="A66" t="s">
        <v>421</v>
      </c>
      <c r="B66" t="s">
        <v>422</v>
      </c>
      <c r="C66">
        <v>1</v>
      </c>
    </row>
    <row r="67" spans="1:3" x14ac:dyDescent="0.25">
      <c r="A67" t="s">
        <v>424</v>
      </c>
      <c r="B67" t="s">
        <v>425</v>
      </c>
      <c r="C67">
        <v>1</v>
      </c>
    </row>
    <row r="68" spans="1:3" x14ac:dyDescent="0.25">
      <c r="A68" t="s">
        <v>427</v>
      </c>
      <c r="B68" s="21" t="s">
        <v>492</v>
      </c>
      <c r="C68">
        <v>1</v>
      </c>
    </row>
    <row r="69" spans="1:3" x14ac:dyDescent="0.25">
      <c r="A69" t="s">
        <v>431</v>
      </c>
      <c r="B69" t="s">
        <v>172</v>
      </c>
      <c r="C69">
        <v>1</v>
      </c>
    </row>
    <row r="70" spans="1:3" x14ac:dyDescent="0.25">
      <c r="A70" t="s">
        <v>434</v>
      </c>
      <c r="B70" t="s">
        <v>435</v>
      </c>
      <c r="C70">
        <v>1</v>
      </c>
    </row>
    <row r="71" spans="1:3" x14ac:dyDescent="0.25">
      <c r="A71" t="s">
        <v>438</v>
      </c>
      <c r="B71" t="s">
        <v>173</v>
      </c>
      <c r="C71">
        <v>1</v>
      </c>
    </row>
    <row r="72" spans="1:3" x14ac:dyDescent="0.25">
      <c r="A72" t="s">
        <v>441</v>
      </c>
      <c r="B72" t="s">
        <v>174</v>
      </c>
      <c r="C72">
        <v>1</v>
      </c>
    </row>
    <row r="73" spans="1:3" x14ac:dyDescent="0.25">
      <c r="A73" t="s">
        <v>443</v>
      </c>
      <c r="B73" t="s">
        <v>444</v>
      </c>
      <c r="C73">
        <v>1</v>
      </c>
    </row>
    <row r="74" spans="1:3" x14ac:dyDescent="0.25">
      <c r="A74" t="s">
        <v>446</v>
      </c>
      <c r="B74" t="s">
        <v>447</v>
      </c>
      <c r="C74">
        <v>1</v>
      </c>
    </row>
    <row r="75" spans="1:3" x14ac:dyDescent="0.25">
      <c r="A75" t="s">
        <v>449</v>
      </c>
      <c r="B75" t="s">
        <v>450</v>
      </c>
      <c r="C75">
        <v>1</v>
      </c>
    </row>
    <row r="76" spans="1:3" x14ac:dyDescent="0.25">
      <c r="A76" t="s">
        <v>452</v>
      </c>
      <c r="B76" s="21" t="s">
        <v>185</v>
      </c>
      <c r="C76">
        <v>1</v>
      </c>
    </row>
    <row r="77" spans="1:3" x14ac:dyDescent="0.25">
      <c r="A77" t="s">
        <v>454</v>
      </c>
      <c r="B77" t="s">
        <v>175</v>
      </c>
      <c r="C77">
        <v>1</v>
      </c>
    </row>
    <row r="78" spans="1:3" x14ac:dyDescent="0.25">
      <c r="A78" t="s">
        <v>456</v>
      </c>
      <c r="B78" t="s">
        <v>457</v>
      </c>
      <c r="C78">
        <v>1</v>
      </c>
    </row>
    <row r="79" spans="1:3" x14ac:dyDescent="0.25">
      <c r="A79" t="s">
        <v>459</v>
      </c>
      <c r="B79" t="s">
        <v>176</v>
      </c>
      <c r="C79">
        <v>1</v>
      </c>
    </row>
    <row r="80" spans="1:3" x14ac:dyDescent="0.25">
      <c r="A80" t="s">
        <v>462</v>
      </c>
      <c r="B80" t="s">
        <v>177</v>
      </c>
      <c r="C80">
        <v>1</v>
      </c>
    </row>
    <row r="81" spans="1:3" x14ac:dyDescent="0.25">
      <c r="A81" t="s">
        <v>464</v>
      </c>
      <c r="B81" t="s">
        <v>178</v>
      </c>
      <c r="C81">
        <v>1</v>
      </c>
    </row>
    <row r="82" spans="1:3" x14ac:dyDescent="0.25">
      <c r="A82" t="s">
        <v>467</v>
      </c>
      <c r="B82" t="s">
        <v>179</v>
      </c>
      <c r="C82">
        <v>1</v>
      </c>
    </row>
    <row r="83" spans="1:3" x14ac:dyDescent="0.25">
      <c r="A83" t="s">
        <v>470</v>
      </c>
      <c r="B83" t="s">
        <v>180</v>
      </c>
      <c r="C83">
        <v>1</v>
      </c>
    </row>
    <row r="84" spans="1:3" x14ac:dyDescent="0.25">
      <c r="A84" t="s">
        <v>472</v>
      </c>
      <c r="B84" t="s">
        <v>181</v>
      </c>
      <c r="C84">
        <v>1</v>
      </c>
    </row>
    <row r="85" spans="1:3" x14ac:dyDescent="0.25">
      <c r="A85" t="s">
        <v>475</v>
      </c>
      <c r="B85" t="s">
        <v>476</v>
      </c>
      <c r="C85">
        <v>1</v>
      </c>
    </row>
    <row r="86" spans="1:3" x14ac:dyDescent="0.25">
      <c r="A86" t="s">
        <v>479</v>
      </c>
      <c r="B86" t="s">
        <v>480</v>
      </c>
      <c r="C86">
        <v>1</v>
      </c>
    </row>
    <row r="87" spans="1:3" x14ac:dyDescent="0.25">
      <c r="A87" t="s">
        <v>483</v>
      </c>
      <c r="B87" t="s">
        <v>484</v>
      </c>
      <c r="C87">
        <v>1</v>
      </c>
    </row>
    <row r="88" spans="1:3" x14ac:dyDescent="0.25">
      <c r="A88" t="s">
        <v>487</v>
      </c>
      <c r="B88" s="21" t="s">
        <v>493</v>
      </c>
      <c r="C88">
        <v>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EB42-FA60-4229-ACB5-038DE1457761}">
  <dimension ref="A1:O88"/>
  <sheetViews>
    <sheetView tabSelected="1" workbookViewId="0">
      <selection activeCell="B18" sqref="B18"/>
    </sheetView>
  </sheetViews>
  <sheetFormatPr baseColWidth="10" defaultRowHeight="15" x14ac:dyDescent="0.25"/>
  <cols>
    <col min="1" max="1" width="7.7109375" bestFit="1" customWidth="1"/>
    <col min="2" max="2" width="27.42578125" bestFit="1" customWidth="1"/>
    <col min="3" max="3" width="21.7109375" bestFit="1" customWidth="1"/>
    <col min="4" max="4" width="15.28515625" bestFit="1" customWidth="1"/>
    <col min="5" max="5" width="31.28515625" bestFit="1" customWidth="1"/>
    <col min="6" max="6" width="12.28515625" bestFit="1" customWidth="1"/>
  </cols>
  <sheetData>
    <row r="1" spans="1:15" x14ac:dyDescent="0.25">
      <c r="A1" s="20" t="s">
        <v>188</v>
      </c>
      <c r="B1" s="20" t="s">
        <v>189</v>
      </c>
      <c r="C1" s="20" t="s">
        <v>190</v>
      </c>
      <c r="D1" s="20" t="s">
        <v>191</v>
      </c>
      <c r="E1" s="20" t="s">
        <v>192</v>
      </c>
      <c r="F1" s="20" t="s">
        <v>193</v>
      </c>
      <c r="G1" s="20" t="s">
        <v>194</v>
      </c>
      <c r="H1" s="20" t="s">
        <v>195</v>
      </c>
      <c r="I1" s="20" t="s">
        <v>196</v>
      </c>
      <c r="J1" s="20" t="s">
        <v>197</v>
      </c>
      <c r="K1" s="20" t="s">
        <v>198</v>
      </c>
      <c r="L1" s="20" t="s">
        <v>199</v>
      </c>
      <c r="M1" s="20" t="s">
        <v>200</v>
      </c>
      <c r="N1" s="20" t="s">
        <v>201</v>
      </c>
      <c r="O1" s="20" t="s">
        <v>202</v>
      </c>
    </row>
    <row r="2" spans="1:15" x14ac:dyDescent="0.25">
      <c r="A2" t="s">
        <v>203</v>
      </c>
      <c r="B2" t="s">
        <v>150</v>
      </c>
      <c r="C2" t="s">
        <v>204</v>
      </c>
      <c r="D2" t="s">
        <v>205</v>
      </c>
      <c r="E2" t="s">
        <v>206</v>
      </c>
      <c r="F2">
        <v>3.3</v>
      </c>
      <c r="G2" s="22">
        <v>227.45098039215691</v>
      </c>
      <c r="H2" s="22">
        <v>431.76470588235293</v>
      </c>
      <c r="I2">
        <v>5.73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</row>
    <row r="3" spans="1:15" x14ac:dyDescent="0.25">
      <c r="A3" t="s">
        <v>207</v>
      </c>
      <c r="B3" t="s">
        <v>151</v>
      </c>
      <c r="C3" t="s">
        <v>208</v>
      </c>
      <c r="D3" t="s">
        <v>209</v>
      </c>
      <c r="E3" t="s">
        <v>210</v>
      </c>
      <c r="F3">
        <v>3.8</v>
      </c>
      <c r="G3" s="22">
        <v>227.45098039215691</v>
      </c>
      <c r="H3" s="22">
        <v>431.76470588235293</v>
      </c>
      <c r="I3">
        <v>5.73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</row>
    <row r="4" spans="1:15" x14ac:dyDescent="0.25">
      <c r="A4" t="s">
        <v>211</v>
      </c>
      <c r="B4" t="s">
        <v>212</v>
      </c>
      <c r="C4" t="s">
        <v>213</v>
      </c>
      <c r="D4" t="s">
        <v>214</v>
      </c>
      <c r="E4" t="s">
        <v>210</v>
      </c>
      <c r="F4">
        <v>4.4000000000000004</v>
      </c>
      <c r="G4" s="22">
        <v>227.45098039215691</v>
      </c>
      <c r="H4" s="22">
        <v>431.76470588235293</v>
      </c>
      <c r="I4">
        <v>5.73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</row>
    <row r="5" spans="1:15" x14ac:dyDescent="0.25">
      <c r="A5" t="s">
        <v>215</v>
      </c>
      <c r="B5" t="s">
        <v>216</v>
      </c>
      <c r="C5" t="s">
        <v>217</v>
      </c>
      <c r="D5" t="s">
        <v>218</v>
      </c>
      <c r="E5" t="s">
        <v>219</v>
      </c>
      <c r="F5">
        <v>3.2</v>
      </c>
      <c r="G5" s="22">
        <v>227.45098039215691</v>
      </c>
      <c r="H5" s="22">
        <v>431.76470588235293</v>
      </c>
      <c r="I5">
        <v>5.73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</row>
    <row r="6" spans="1:15" x14ac:dyDescent="0.25">
      <c r="A6" t="s">
        <v>220</v>
      </c>
      <c r="B6" s="21" t="s">
        <v>221</v>
      </c>
      <c r="C6" t="s">
        <v>222</v>
      </c>
      <c r="D6" t="s">
        <v>223</v>
      </c>
      <c r="E6" t="s">
        <v>224</v>
      </c>
      <c r="F6">
        <v>3.4</v>
      </c>
      <c r="G6" s="22">
        <v>420</v>
      </c>
      <c r="H6" s="22">
        <v>840</v>
      </c>
      <c r="I6">
        <v>16.670000000000002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</row>
    <row r="7" spans="1:15" x14ac:dyDescent="0.25">
      <c r="A7" t="s">
        <v>225</v>
      </c>
      <c r="B7" t="s">
        <v>226</v>
      </c>
      <c r="C7" t="s">
        <v>227</v>
      </c>
      <c r="D7" t="s">
        <v>228</v>
      </c>
      <c r="E7" t="s">
        <v>206</v>
      </c>
      <c r="F7">
        <v>3.3</v>
      </c>
      <c r="G7" s="22">
        <v>227.45098039215691</v>
      </c>
      <c r="H7" s="22">
        <v>431.76470588235293</v>
      </c>
      <c r="I7">
        <v>5.73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</row>
    <row r="8" spans="1:15" x14ac:dyDescent="0.25">
      <c r="A8" t="s">
        <v>229</v>
      </c>
      <c r="B8" t="s">
        <v>230</v>
      </c>
      <c r="C8" t="s">
        <v>231</v>
      </c>
      <c r="D8" t="s">
        <v>232</v>
      </c>
      <c r="E8" t="s">
        <v>233</v>
      </c>
      <c r="F8">
        <v>2.6</v>
      </c>
      <c r="G8" s="22">
        <v>227.45098039215691</v>
      </c>
      <c r="H8" s="22">
        <v>431.76470588235293</v>
      </c>
      <c r="I8">
        <v>5.73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234</v>
      </c>
      <c r="B9" t="s">
        <v>235</v>
      </c>
      <c r="C9" t="s">
        <v>236</v>
      </c>
      <c r="D9" t="s">
        <v>232</v>
      </c>
      <c r="E9" t="s">
        <v>233</v>
      </c>
      <c r="F9">
        <v>2.6</v>
      </c>
      <c r="G9" s="22">
        <v>227.45098039215691</v>
      </c>
      <c r="H9" s="22">
        <v>431.76470588235293</v>
      </c>
      <c r="I9">
        <v>5.73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237</v>
      </c>
      <c r="B10" t="s">
        <v>238</v>
      </c>
      <c r="C10" t="s">
        <v>239</v>
      </c>
      <c r="D10" t="s">
        <v>240</v>
      </c>
      <c r="E10" t="s">
        <v>233</v>
      </c>
      <c r="F10">
        <v>2.6</v>
      </c>
      <c r="G10" s="22">
        <v>227.45098039215691</v>
      </c>
      <c r="H10" s="22">
        <v>431.76470588235293</v>
      </c>
      <c r="I10">
        <v>5.73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241</v>
      </c>
      <c r="B11" t="s">
        <v>242</v>
      </c>
      <c r="C11" t="s">
        <v>243</v>
      </c>
      <c r="D11" t="s">
        <v>240</v>
      </c>
      <c r="E11" t="s">
        <v>233</v>
      </c>
      <c r="F11">
        <v>2.6</v>
      </c>
      <c r="G11" s="22">
        <v>227.45098039215691</v>
      </c>
      <c r="H11" s="22">
        <v>431.76470588235293</v>
      </c>
      <c r="I11">
        <v>5.73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244</v>
      </c>
      <c r="B12" t="s">
        <v>152</v>
      </c>
      <c r="C12" t="s">
        <v>245</v>
      </c>
      <c r="D12" t="s">
        <v>240</v>
      </c>
      <c r="E12" t="s">
        <v>233</v>
      </c>
      <c r="F12">
        <v>2.4</v>
      </c>
      <c r="G12" s="22">
        <v>227.45098039215691</v>
      </c>
      <c r="H12" s="22">
        <v>431.76470588235293</v>
      </c>
      <c r="I12">
        <v>5.73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246</v>
      </c>
      <c r="B13" t="s">
        <v>153</v>
      </c>
      <c r="C13" t="s">
        <v>153</v>
      </c>
      <c r="D13" t="s">
        <v>240</v>
      </c>
      <c r="E13" t="s">
        <v>233</v>
      </c>
      <c r="F13">
        <v>2.4</v>
      </c>
      <c r="G13" s="22">
        <v>227.45098039215691</v>
      </c>
      <c r="H13" s="22">
        <v>431.76470588235293</v>
      </c>
      <c r="I13">
        <v>5.73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247</v>
      </c>
      <c r="B14" t="s">
        <v>248</v>
      </c>
      <c r="C14" t="s">
        <v>249</v>
      </c>
      <c r="D14" t="s">
        <v>240</v>
      </c>
      <c r="E14" t="s">
        <v>233</v>
      </c>
      <c r="F14">
        <v>2.9</v>
      </c>
      <c r="G14" s="22">
        <v>227.45098039215691</v>
      </c>
      <c r="H14" s="22">
        <v>431.76470588235293</v>
      </c>
      <c r="I14">
        <v>5.73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250</v>
      </c>
      <c r="B15" t="s">
        <v>251</v>
      </c>
      <c r="C15" t="s">
        <v>252</v>
      </c>
      <c r="D15" t="s">
        <v>240</v>
      </c>
      <c r="E15" t="s">
        <v>233</v>
      </c>
      <c r="F15">
        <v>2.8</v>
      </c>
      <c r="G15" s="22">
        <v>227.45098039215691</v>
      </c>
      <c r="H15" s="22">
        <v>431.76470588235293</v>
      </c>
      <c r="I15">
        <v>5.73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253</v>
      </c>
      <c r="B16" t="s">
        <v>154</v>
      </c>
      <c r="C16" t="s">
        <v>254</v>
      </c>
      <c r="D16" t="s">
        <v>255</v>
      </c>
      <c r="E16" t="s">
        <v>256</v>
      </c>
      <c r="F16">
        <v>2</v>
      </c>
      <c r="G16" s="22">
        <v>177.0588235294118</v>
      </c>
      <c r="H16" s="22">
        <v>355.88235294117652</v>
      </c>
      <c r="I16">
        <v>4.0199999999999996</v>
      </c>
      <c r="J16">
        <v>0</v>
      </c>
      <c r="K16">
        <v>1</v>
      </c>
      <c r="L16">
        <v>1</v>
      </c>
      <c r="M16">
        <v>0</v>
      </c>
      <c r="N16">
        <v>0</v>
      </c>
      <c r="O16">
        <v>0</v>
      </c>
    </row>
    <row r="17" spans="1:15" x14ac:dyDescent="0.25">
      <c r="A17" t="s">
        <v>257</v>
      </c>
      <c r="B17" t="s">
        <v>258</v>
      </c>
      <c r="C17" t="s">
        <v>259</v>
      </c>
      <c r="D17" t="s">
        <v>255</v>
      </c>
      <c r="E17" t="s">
        <v>260</v>
      </c>
      <c r="F17">
        <v>2.5</v>
      </c>
      <c r="G17" s="22">
        <v>177.0588235294118</v>
      </c>
      <c r="H17" s="22">
        <v>355.88235294117652</v>
      </c>
      <c r="I17">
        <v>4.0199999999999996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</row>
    <row r="18" spans="1:15" x14ac:dyDescent="0.25">
      <c r="A18" t="s">
        <v>261</v>
      </c>
      <c r="B18" s="21" t="s">
        <v>155</v>
      </c>
      <c r="C18" t="s">
        <v>262</v>
      </c>
      <c r="D18" t="s">
        <v>255</v>
      </c>
      <c r="E18" t="s">
        <v>263</v>
      </c>
      <c r="F18">
        <v>2.2999999999999998</v>
      </c>
      <c r="G18" s="22">
        <v>177.0588235294118</v>
      </c>
      <c r="H18" s="22">
        <v>355.88235294117652</v>
      </c>
      <c r="I18">
        <v>4.0199999999999996</v>
      </c>
      <c r="J18">
        <v>1</v>
      </c>
      <c r="K18">
        <v>1</v>
      </c>
      <c r="L18">
        <v>0</v>
      </c>
      <c r="M18">
        <v>1</v>
      </c>
      <c r="N18">
        <v>0</v>
      </c>
      <c r="O18">
        <v>0</v>
      </c>
    </row>
    <row r="19" spans="1:15" x14ac:dyDescent="0.25">
      <c r="A19" t="s">
        <v>264</v>
      </c>
      <c r="B19" t="s">
        <v>182</v>
      </c>
      <c r="C19" t="s">
        <v>262</v>
      </c>
      <c r="D19" t="s">
        <v>255</v>
      </c>
      <c r="E19" t="s">
        <v>265</v>
      </c>
      <c r="F19">
        <v>2.5</v>
      </c>
      <c r="G19" s="22">
        <v>177.0588235294118</v>
      </c>
      <c r="H19" s="22">
        <v>355.88235294117652</v>
      </c>
      <c r="I19">
        <v>4.0199999999999996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25" t="s">
        <v>494</v>
      </c>
      <c r="B20" s="21" t="s">
        <v>491</v>
      </c>
      <c r="C20" t="s">
        <v>267</v>
      </c>
      <c r="D20" t="s">
        <v>255</v>
      </c>
      <c r="E20" t="s">
        <v>265</v>
      </c>
      <c r="F20">
        <v>2.5</v>
      </c>
      <c r="G20" s="22">
        <v>177.0588235294118</v>
      </c>
      <c r="H20" s="22">
        <v>355.88235294117652</v>
      </c>
      <c r="I20">
        <v>4.0199999999999996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268</v>
      </c>
      <c r="B21" t="s">
        <v>156</v>
      </c>
      <c r="C21" t="s">
        <v>269</v>
      </c>
      <c r="D21" t="s">
        <v>270</v>
      </c>
      <c r="E21" t="s">
        <v>271</v>
      </c>
      <c r="F21">
        <v>2.2999999999999998</v>
      </c>
      <c r="G21" s="22">
        <v>227.45098039215691</v>
      </c>
      <c r="H21" s="22">
        <v>431.76470588235293</v>
      </c>
      <c r="I21">
        <v>5.73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272</v>
      </c>
      <c r="B22" t="s">
        <v>273</v>
      </c>
      <c r="C22" t="s">
        <v>274</v>
      </c>
      <c r="D22" t="s">
        <v>275</v>
      </c>
      <c r="E22" t="s">
        <v>219</v>
      </c>
      <c r="F22">
        <v>3</v>
      </c>
      <c r="G22" s="22">
        <v>227.45098039215691</v>
      </c>
      <c r="H22" s="22">
        <v>431.76470588235293</v>
      </c>
      <c r="I22">
        <v>5.73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276</v>
      </c>
      <c r="B23" t="s">
        <v>277</v>
      </c>
      <c r="C23" t="s">
        <v>278</v>
      </c>
      <c r="D23" t="s">
        <v>279</v>
      </c>
      <c r="E23" t="s">
        <v>280</v>
      </c>
      <c r="F23">
        <v>3.7</v>
      </c>
      <c r="G23" s="22">
        <v>227.45098039215691</v>
      </c>
      <c r="H23" s="22">
        <v>431.76470588235293</v>
      </c>
      <c r="I23">
        <v>5.73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281</v>
      </c>
      <c r="B24" t="s">
        <v>157</v>
      </c>
      <c r="C24" t="s">
        <v>282</v>
      </c>
      <c r="D24" t="s">
        <v>283</v>
      </c>
      <c r="E24" t="s">
        <v>284</v>
      </c>
      <c r="F24">
        <v>3.7</v>
      </c>
      <c r="G24" s="22">
        <v>180</v>
      </c>
      <c r="H24" s="22">
        <v>280</v>
      </c>
      <c r="I24">
        <v>5.83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285</v>
      </c>
      <c r="B25" t="s">
        <v>158</v>
      </c>
      <c r="C25" t="s">
        <v>286</v>
      </c>
      <c r="D25" t="s">
        <v>283</v>
      </c>
      <c r="E25" t="s">
        <v>284</v>
      </c>
      <c r="F25">
        <v>3.3</v>
      </c>
      <c r="G25" s="22">
        <v>180</v>
      </c>
      <c r="H25" s="22">
        <v>280</v>
      </c>
      <c r="I25">
        <v>5.83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287</v>
      </c>
      <c r="B26" t="s">
        <v>288</v>
      </c>
      <c r="C26" t="s">
        <v>289</v>
      </c>
      <c r="D26" t="s">
        <v>283</v>
      </c>
      <c r="E26" t="s">
        <v>290</v>
      </c>
      <c r="F26">
        <v>3.5</v>
      </c>
      <c r="G26" s="22">
        <v>180</v>
      </c>
      <c r="H26" s="22">
        <v>280</v>
      </c>
      <c r="I26">
        <v>5.83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291</v>
      </c>
      <c r="B27" t="s">
        <v>292</v>
      </c>
      <c r="C27" t="s">
        <v>293</v>
      </c>
      <c r="D27" t="s">
        <v>283</v>
      </c>
      <c r="E27" t="s">
        <v>294</v>
      </c>
      <c r="F27">
        <v>3.5</v>
      </c>
      <c r="G27" s="22">
        <v>180</v>
      </c>
      <c r="H27" s="22">
        <v>280</v>
      </c>
      <c r="I27">
        <v>5.83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295</v>
      </c>
      <c r="B28" t="s">
        <v>183</v>
      </c>
      <c r="C28" t="s">
        <v>296</v>
      </c>
      <c r="D28" t="s">
        <v>283</v>
      </c>
      <c r="E28" t="s">
        <v>290</v>
      </c>
      <c r="F28">
        <v>3.5</v>
      </c>
      <c r="G28" s="22">
        <v>180</v>
      </c>
      <c r="H28" s="22">
        <v>280</v>
      </c>
      <c r="I28">
        <v>5.83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297</v>
      </c>
      <c r="B29" t="s">
        <v>159</v>
      </c>
      <c r="C29" t="s">
        <v>298</v>
      </c>
      <c r="D29" t="s">
        <v>283</v>
      </c>
      <c r="E29" t="s">
        <v>299</v>
      </c>
      <c r="F29">
        <v>4.3</v>
      </c>
      <c r="G29" s="22">
        <v>180</v>
      </c>
      <c r="H29" s="22">
        <v>280</v>
      </c>
      <c r="I29">
        <v>5.83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300</v>
      </c>
      <c r="B30" t="s">
        <v>301</v>
      </c>
      <c r="C30" t="s">
        <v>302</v>
      </c>
      <c r="D30" t="s">
        <v>303</v>
      </c>
      <c r="E30" t="s">
        <v>299</v>
      </c>
      <c r="F30">
        <v>4</v>
      </c>
      <c r="G30" s="22">
        <v>227.45098039215691</v>
      </c>
      <c r="H30" s="22">
        <v>431.76470588235293</v>
      </c>
      <c r="I30">
        <v>5.73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304</v>
      </c>
      <c r="B31" t="s">
        <v>305</v>
      </c>
      <c r="C31" t="s">
        <v>306</v>
      </c>
      <c r="D31" t="s">
        <v>307</v>
      </c>
      <c r="E31" t="s">
        <v>224</v>
      </c>
      <c r="F31">
        <v>3.8</v>
      </c>
      <c r="G31" s="22">
        <v>227.45098039215691</v>
      </c>
      <c r="H31" s="22">
        <v>431.76470588235293</v>
      </c>
      <c r="I31">
        <v>5.73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308</v>
      </c>
      <c r="B32" t="s">
        <v>309</v>
      </c>
      <c r="C32" t="s">
        <v>310</v>
      </c>
      <c r="D32" t="s">
        <v>311</v>
      </c>
      <c r="E32" t="s">
        <v>312</v>
      </c>
      <c r="F32">
        <v>2.5</v>
      </c>
      <c r="G32" s="22">
        <v>227.45098039215691</v>
      </c>
      <c r="H32" s="22">
        <v>431.76470588235293</v>
      </c>
      <c r="I32">
        <v>5.73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313</v>
      </c>
      <c r="B33" t="s">
        <v>314</v>
      </c>
      <c r="C33" t="s">
        <v>315</v>
      </c>
      <c r="D33" t="s">
        <v>311</v>
      </c>
      <c r="E33" t="s">
        <v>316</v>
      </c>
      <c r="F33">
        <v>2.2000000000000002</v>
      </c>
      <c r="G33" s="22">
        <v>227.45098039215691</v>
      </c>
      <c r="H33" s="22">
        <v>431.76470588235293</v>
      </c>
      <c r="I33">
        <v>5.73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317</v>
      </c>
      <c r="B34" t="s">
        <v>318</v>
      </c>
      <c r="C34" t="s">
        <v>319</v>
      </c>
      <c r="D34" t="s">
        <v>320</v>
      </c>
      <c r="E34" t="s">
        <v>321</v>
      </c>
      <c r="F34">
        <v>3.1</v>
      </c>
      <c r="G34" s="22">
        <v>227.45098039215691</v>
      </c>
      <c r="H34" s="22">
        <v>431.76470588235293</v>
      </c>
      <c r="I34">
        <v>5.73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322</v>
      </c>
      <c r="B35" t="s">
        <v>323</v>
      </c>
      <c r="C35" t="s">
        <v>324</v>
      </c>
      <c r="D35" t="s">
        <v>320</v>
      </c>
      <c r="E35" t="s">
        <v>321</v>
      </c>
      <c r="F35">
        <v>3.1</v>
      </c>
      <c r="G35" s="22">
        <v>227.45098039215691</v>
      </c>
      <c r="H35" s="22">
        <v>431.76470588235293</v>
      </c>
      <c r="I35">
        <v>5.73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325</v>
      </c>
      <c r="B36" t="s">
        <v>160</v>
      </c>
      <c r="C36" t="s">
        <v>326</v>
      </c>
      <c r="D36" t="s">
        <v>327</v>
      </c>
      <c r="E36" t="s">
        <v>328</v>
      </c>
      <c r="F36">
        <v>2.5</v>
      </c>
      <c r="G36" s="22">
        <v>227.45098039215691</v>
      </c>
      <c r="H36" s="22">
        <v>431.76470588235293</v>
      </c>
      <c r="I36">
        <v>5.73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329</v>
      </c>
      <c r="B37" t="s">
        <v>330</v>
      </c>
      <c r="C37" t="s">
        <v>331</v>
      </c>
      <c r="D37" t="s">
        <v>332</v>
      </c>
      <c r="E37" t="s">
        <v>219</v>
      </c>
      <c r="F37">
        <v>3</v>
      </c>
      <c r="G37" s="22">
        <v>227.45098039215691</v>
      </c>
      <c r="H37" s="22">
        <v>431.76470588235293</v>
      </c>
      <c r="I37">
        <v>5.73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333</v>
      </c>
      <c r="B38" t="s">
        <v>161</v>
      </c>
      <c r="C38" t="s">
        <v>334</v>
      </c>
      <c r="D38" t="s">
        <v>335</v>
      </c>
      <c r="E38" t="s">
        <v>336</v>
      </c>
      <c r="F38">
        <v>3</v>
      </c>
      <c r="G38" s="22">
        <v>227.45098039215691</v>
      </c>
      <c r="H38" s="22">
        <v>431.76470588235293</v>
      </c>
      <c r="I38">
        <v>5.73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337</v>
      </c>
      <c r="B39" t="s">
        <v>338</v>
      </c>
      <c r="C39" t="s">
        <v>339</v>
      </c>
      <c r="D39" t="s">
        <v>335</v>
      </c>
      <c r="E39" t="s">
        <v>219</v>
      </c>
      <c r="F39">
        <v>3</v>
      </c>
      <c r="G39" s="22">
        <v>227.45098039215691</v>
      </c>
      <c r="H39" s="22">
        <v>431.76470588235293</v>
      </c>
      <c r="I39">
        <v>5.73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340</v>
      </c>
      <c r="B40" t="s">
        <v>162</v>
      </c>
      <c r="C40" t="s">
        <v>341</v>
      </c>
      <c r="D40" t="s">
        <v>342</v>
      </c>
      <c r="E40" t="s">
        <v>343</v>
      </c>
      <c r="F40">
        <v>2.4</v>
      </c>
      <c r="G40" s="22">
        <v>227.45098039215691</v>
      </c>
      <c r="H40" s="22">
        <v>431.76470588235293</v>
      </c>
      <c r="I40">
        <v>5.73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344</v>
      </c>
      <c r="B41" t="s">
        <v>163</v>
      </c>
      <c r="C41" t="s">
        <v>345</v>
      </c>
      <c r="D41" t="s">
        <v>342</v>
      </c>
      <c r="E41" t="s">
        <v>343</v>
      </c>
      <c r="F41">
        <v>2.4</v>
      </c>
      <c r="G41" s="22">
        <v>227.45098039215691</v>
      </c>
      <c r="H41" s="22">
        <v>431.76470588235293</v>
      </c>
      <c r="I41">
        <v>5.73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346</v>
      </c>
      <c r="B42" t="s">
        <v>347</v>
      </c>
      <c r="C42" t="s">
        <v>348</v>
      </c>
      <c r="D42" t="s">
        <v>342</v>
      </c>
      <c r="E42" t="s">
        <v>343</v>
      </c>
      <c r="F42">
        <v>2.4</v>
      </c>
      <c r="G42" s="22">
        <v>227.45098039215691</v>
      </c>
      <c r="H42" s="22">
        <v>431.76470588235293</v>
      </c>
      <c r="I42">
        <v>5.73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349</v>
      </c>
      <c r="B43" t="s">
        <v>350</v>
      </c>
      <c r="C43" t="s">
        <v>345</v>
      </c>
      <c r="D43" t="s">
        <v>342</v>
      </c>
      <c r="E43" t="s">
        <v>343</v>
      </c>
      <c r="F43">
        <v>2.4</v>
      </c>
      <c r="G43" s="22">
        <v>227.45098039215691</v>
      </c>
      <c r="H43" s="22">
        <v>431.76470588235293</v>
      </c>
      <c r="I43">
        <v>5.73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351</v>
      </c>
      <c r="B44" t="s">
        <v>164</v>
      </c>
      <c r="C44" t="s">
        <v>352</v>
      </c>
      <c r="D44" t="s">
        <v>342</v>
      </c>
      <c r="E44" t="s">
        <v>343</v>
      </c>
      <c r="F44">
        <v>2.4</v>
      </c>
      <c r="G44" s="22">
        <v>227.45098039215691</v>
      </c>
      <c r="H44" s="22">
        <v>431.76470588235293</v>
      </c>
      <c r="I44">
        <v>5.73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353</v>
      </c>
      <c r="B45" t="s">
        <v>165</v>
      </c>
      <c r="C45" t="s">
        <v>354</v>
      </c>
      <c r="D45" t="s">
        <v>342</v>
      </c>
      <c r="E45" t="s">
        <v>343</v>
      </c>
      <c r="F45">
        <v>2.4</v>
      </c>
      <c r="G45" s="22">
        <v>227.45098039215691</v>
      </c>
      <c r="H45" s="22">
        <v>431.76470588235293</v>
      </c>
      <c r="I45">
        <v>5.73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355</v>
      </c>
      <c r="B46" t="s">
        <v>166</v>
      </c>
      <c r="C46" t="s">
        <v>356</v>
      </c>
      <c r="D46" t="s">
        <v>342</v>
      </c>
      <c r="E46" t="s">
        <v>343</v>
      </c>
      <c r="F46">
        <v>2.4</v>
      </c>
      <c r="G46" s="22">
        <v>227.45098039215691</v>
      </c>
      <c r="H46" s="22">
        <v>431.76470588235293</v>
      </c>
      <c r="I46">
        <v>5.73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357</v>
      </c>
      <c r="B47" t="s">
        <v>184</v>
      </c>
      <c r="C47" t="s">
        <v>358</v>
      </c>
      <c r="D47" t="s">
        <v>342</v>
      </c>
      <c r="E47" t="s">
        <v>343</v>
      </c>
      <c r="F47">
        <v>2.4</v>
      </c>
      <c r="G47" s="22">
        <v>227.45098039215691</v>
      </c>
      <c r="H47" s="22">
        <v>431.76470588235293</v>
      </c>
      <c r="I47">
        <v>5.73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359</v>
      </c>
      <c r="B48" t="s">
        <v>360</v>
      </c>
      <c r="C48" t="s">
        <v>361</v>
      </c>
      <c r="D48" t="s">
        <v>342</v>
      </c>
      <c r="E48" t="s">
        <v>219</v>
      </c>
      <c r="F48">
        <v>3</v>
      </c>
      <c r="G48" s="22">
        <v>227.45098039215691</v>
      </c>
      <c r="H48" s="22">
        <v>431.76470588235293</v>
      </c>
      <c r="I48">
        <v>5.73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362</v>
      </c>
      <c r="B49" t="s">
        <v>363</v>
      </c>
      <c r="C49" t="s">
        <v>364</v>
      </c>
      <c r="D49" t="s">
        <v>365</v>
      </c>
      <c r="E49" t="s">
        <v>219</v>
      </c>
      <c r="F49">
        <v>3</v>
      </c>
      <c r="G49" s="22">
        <v>227.45098039215691</v>
      </c>
      <c r="H49" s="22">
        <v>431.76470588235293</v>
      </c>
      <c r="I49">
        <v>5.73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366</v>
      </c>
      <c r="B50" t="s">
        <v>367</v>
      </c>
      <c r="C50" t="s">
        <v>368</v>
      </c>
      <c r="D50" t="s">
        <v>369</v>
      </c>
      <c r="E50" t="s">
        <v>210</v>
      </c>
      <c r="F50">
        <v>4.3</v>
      </c>
      <c r="G50" s="22">
        <v>227.45098039215691</v>
      </c>
      <c r="H50" s="22">
        <v>431.76470588235293</v>
      </c>
      <c r="I50">
        <v>5.73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</row>
    <row r="51" spans="1:15" x14ac:dyDescent="0.25">
      <c r="A51" t="s">
        <v>370</v>
      </c>
      <c r="B51" t="s">
        <v>167</v>
      </c>
      <c r="C51" t="s">
        <v>371</v>
      </c>
      <c r="D51" t="s">
        <v>372</v>
      </c>
      <c r="E51" t="s">
        <v>373</v>
      </c>
      <c r="F51">
        <v>4.5</v>
      </c>
      <c r="G51" s="22">
        <v>227.45098039215691</v>
      </c>
      <c r="H51" s="22">
        <v>431.76470588235293</v>
      </c>
      <c r="I51">
        <v>5.73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t="s">
        <v>374</v>
      </c>
      <c r="B52" t="s">
        <v>375</v>
      </c>
      <c r="C52" t="s">
        <v>376</v>
      </c>
      <c r="D52" t="s">
        <v>372</v>
      </c>
      <c r="E52" t="s">
        <v>377</v>
      </c>
      <c r="F52">
        <v>3.8</v>
      </c>
      <c r="G52" s="22">
        <v>227.45098039215691</v>
      </c>
      <c r="H52" s="22">
        <v>431.76470588235293</v>
      </c>
      <c r="I52">
        <v>5.73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378</v>
      </c>
      <c r="B53" t="s">
        <v>168</v>
      </c>
      <c r="C53" t="s">
        <v>379</v>
      </c>
      <c r="D53" t="s">
        <v>380</v>
      </c>
      <c r="E53" t="s">
        <v>381</v>
      </c>
      <c r="F53">
        <v>3.1</v>
      </c>
      <c r="G53" s="22">
        <v>80</v>
      </c>
      <c r="H53" s="22">
        <v>160</v>
      </c>
      <c r="I53">
        <v>3.23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382</v>
      </c>
      <c r="B54" t="s">
        <v>169</v>
      </c>
      <c r="C54" t="s">
        <v>383</v>
      </c>
      <c r="D54" t="s">
        <v>380</v>
      </c>
      <c r="E54" t="s">
        <v>384</v>
      </c>
      <c r="F54">
        <v>4</v>
      </c>
      <c r="G54" s="22">
        <v>80</v>
      </c>
      <c r="H54" s="22">
        <v>160</v>
      </c>
      <c r="I54">
        <v>3.23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385</v>
      </c>
      <c r="B55" t="s">
        <v>170</v>
      </c>
      <c r="C55" t="s">
        <v>386</v>
      </c>
      <c r="D55" t="s">
        <v>387</v>
      </c>
      <c r="E55" t="s">
        <v>210</v>
      </c>
      <c r="F55">
        <v>4.0999999999999996</v>
      </c>
      <c r="G55" s="22">
        <v>227.45098039215691</v>
      </c>
      <c r="H55" s="22">
        <v>431.76470588235293</v>
      </c>
      <c r="I55">
        <v>5.73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</row>
    <row r="56" spans="1:15" x14ac:dyDescent="0.25">
      <c r="A56" t="s">
        <v>388</v>
      </c>
      <c r="B56" t="s">
        <v>389</v>
      </c>
      <c r="C56" t="s">
        <v>390</v>
      </c>
      <c r="D56" t="s">
        <v>387</v>
      </c>
      <c r="E56" t="s">
        <v>210</v>
      </c>
      <c r="F56">
        <v>4.0999999999999996</v>
      </c>
      <c r="G56" s="22">
        <v>227.45098039215691</v>
      </c>
      <c r="H56" s="22">
        <v>431.76470588235293</v>
      </c>
      <c r="I56">
        <v>5.73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</row>
    <row r="57" spans="1:15" x14ac:dyDescent="0.25">
      <c r="A57" t="s">
        <v>391</v>
      </c>
      <c r="B57" t="s">
        <v>392</v>
      </c>
      <c r="C57" t="s">
        <v>393</v>
      </c>
      <c r="D57" t="s">
        <v>387</v>
      </c>
      <c r="E57" t="s">
        <v>210</v>
      </c>
      <c r="F57">
        <v>4.0999999999999996</v>
      </c>
      <c r="G57" s="22">
        <v>227.45098039215691</v>
      </c>
      <c r="H57" s="22">
        <v>431.76470588235293</v>
      </c>
      <c r="I57">
        <v>5.73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</row>
    <row r="58" spans="1:15" x14ac:dyDescent="0.25">
      <c r="A58" t="s">
        <v>394</v>
      </c>
      <c r="B58" t="s">
        <v>171</v>
      </c>
      <c r="C58" t="s">
        <v>395</v>
      </c>
      <c r="D58" t="s">
        <v>387</v>
      </c>
      <c r="E58" t="s">
        <v>396</v>
      </c>
      <c r="F58">
        <v>4.0999999999999996</v>
      </c>
      <c r="G58" s="22">
        <v>227.45098039215691</v>
      </c>
      <c r="H58" s="22">
        <v>431.76470588235293</v>
      </c>
      <c r="I58">
        <v>5.73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397</v>
      </c>
      <c r="B59" t="s">
        <v>398</v>
      </c>
      <c r="C59" t="s">
        <v>399</v>
      </c>
      <c r="D59" t="s">
        <v>387</v>
      </c>
      <c r="E59" t="s">
        <v>400</v>
      </c>
      <c r="F59">
        <v>3.6</v>
      </c>
      <c r="G59" s="22">
        <v>227.45098039215691</v>
      </c>
      <c r="H59" s="22">
        <v>431.76470588235293</v>
      </c>
      <c r="I59">
        <v>5.73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401</v>
      </c>
      <c r="B60" t="s">
        <v>402</v>
      </c>
      <c r="C60" t="s">
        <v>403</v>
      </c>
      <c r="D60" t="s">
        <v>387</v>
      </c>
      <c r="E60" t="s">
        <v>400</v>
      </c>
      <c r="F60">
        <v>3.6</v>
      </c>
      <c r="G60" s="22">
        <v>227.45098039215691</v>
      </c>
      <c r="H60" s="22">
        <v>431.76470588235293</v>
      </c>
      <c r="I60">
        <v>5.73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404</v>
      </c>
      <c r="B61" t="s">
        <v>405</v>
      </c>
      <c r="C61" t="s">
        <v>406</v>
      </c>
      <c r="D61" t="s">
        <v>407</v>
      </c>
      <c r="E61" t="s">
        <v>210</v>
      </c>
      <c r="F61">
        <v>4</v>
      </c>
      <c r="G61" s="22">
        <v>227.45098039215691</v>
      </c>
      <c r="H61" s="22">
        <v>431.76470588235293</v>
      </c>
      <c r="I61">
        <v>5.73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</row>
    <row r="62" spans="1:15" x14ac:dyDescent="0.25">
      <c r="A62" t="s">
        <v>408</v>
      </c>
      <c r="B62" t="s">
        <v>409</v>
      </c>
      <c r="C62" t="s">
        <v>410</v>
      </c>
      <c r="D62" t="s">
        <v>407</v>
      </c>
      <c r="E62" t="s">
        <v>210</v>
      </c>
      <c r="F62">
        <v>4</v>
      </c>
      <c r="G62" s="22">
        <v>227.45098039215691</v>
      </c>
      <c r="H62" s="22">
        <v>431.76470588235293</v>
      </c>
      <c r="I62">
        <v>5.73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</row>
    <row r="63" spans="1:15" x14ac:dyDescent="0.25">
      <c r="A63" t="s">
        <v>411</v>
      </c>
      <c r="B63" t="s">
        <v>412</v>
      </c>
      <c r="C63" t="s">
        <v>413</v>
      </c>
      <c r="D63" t="s">
        <v>407</v>
      </c>
      <c r="E63" t="s">
        <v>210</v>
      </c>
      <c r="F63">
        <v>4</v>
      </c>
      <c r="G63" s="22">
        <v>227.45098039215691</v>
      </c>
      <c r="H63" s="22">
        <v>431.76470588235293</v>
      </c>
      <c r="I63">
        <v>5.73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</row>
    <row r="64" spans="1:15" x14ac:dyDescent="0.25">
      <c r="A64" t="s">
        <v>414</v>
      </c>
      <c r="B64" t="s">
        <v>415</v>
      </c>
      <c r="C64" t="s">
        <v>416</v>
      </c>
      <c r="D64" t="s">
        <v>417</v>
      </c>
      <c r="E64" t="s">
        <v>206</v>
      </c>
      <c r="F64">
        <v>3</v>
      </c>
      <c r="G64" s="22">
        <v>227.45098039215691</v>
      </c>
      <c r="H64" s="22">
        <v>431.76470588235293</v>
      </c>
      <c r="I64">
        <v>5.73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t="s">
        <v>418</v>
      </c>
      <c r="B65" t="s">
        <v>419</v>
      </c>
      <c r="C65" t="s">
        <v>420</v>
      </c>
      <c r="D65" t="s">
        <v>417</v>
      </c>
      <c r="E65" t="s">
        <v>206</v>
      </c>
      <c r="F65">
        <v>3</v>
      </c>
      <c r="G65" s="22">
        <v>227.45098039215691</v>
      </c>
      <c r="H65" s="22">
        <v>431.76470588235293</v>
      </c>
      <c r="I65">
        <v>5.73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421</v>
      </c>
      <c r="B66" t="s">
        <v>422</v>
      </c>
      <c r="C66" t="s">
        <v>423</v>
      </c>
      <c r="D66" t="s">
        <v>417</v>
      </c>
      <c r="E66" t="s">
        <v>219</v>
      </c>
      <c r="F66">
        <v>3.2</v>
      </c>
      <c r="G66" s="22">
        <v>227.45098039215691</v>
      </c>
      <c r="H66" s="22">
        <v>431.76470588235293</v>
      </c>
      <c r="I66">
        <v>5.73</v>
      </c>
      <c r="J66">
        <v>0</v>
      </c>
      <c r="K66">
        <v>0</v>
      </c>
      <c r="L66">
        <v>0</v>
      </c>
      <c r="M66">
        <v>1</v>
      </c>
      <c r="N66">
        <v>0</v>
      </c>
      <c r="O66">
        <v>0</v>
      </c>
    </row>
    <row r="67" spans="1:15" x14ac:dyDescent="0.25">
      <c r="A67" t="s">
        <v>424</v>
      </c>
      <c r="B67" t="s">
        <v>425</v>
      </c>
      <c r="C67" t="s">
        <v>426</v>
      </c>
      <c r="D67" t="s">
        <v>417</v>
      </c>
      <c r="E67" t="s">
        <v>219</v>
      </c>
      <c r="F67">
        <v>3.2</v>
      </c>
      <c r="G67" s="22">
        <v>227.45098039215691</v>
      </c>
      <c r="H67" s="22">
        <v>431.76470588235293</v>
      </c>
      <c r="I67">
        <v>5.73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</row>
    <row r="68" spans="1:15" x14ac:dyDescent="0.25">
      <c r="A68" t="s">
        <v>427</v>
      </c>
      <c r="B68" s="21" t="s">
        <v>492</v>
      </c>
      <c r="C68" t="s">
        <v>428</v>
      </c>
      <c r="D68" t="s">
        <v>429</v>
      </c>
      <c r="E68" t="s">
        <v>430</v>
      </c>
      <c r="F68">
        <v>3.2</v>
      </c>
      <c r="G68" s="22">
        <v>227.45098039215691</v>
      </c>
      <c r="H68" s="22">
        <v>431.76470588235293</v>
      </c>
      <c r="I68">
        <v>5.73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431</v>
      </c>
      <c r="B69" t="s">
        <v>172</v>
      </c>
      <c r="C69" t="s">
        <v>432</v>
      </c>
      <c r="D69" t="s">
        <v>429</v>
      </c>
      <c r="E69" t="s">
        <v>433</v>
      </c>
      <c r="F69">
        <v>3.1</v>
      </c>
      <c r="G69" s="22">
        <v>227.45098039215691</v>
      </c>
      <c r="H69" s="22">
        <v>431.76470588235293</v>
      </c>
      <c r="I69">
        <v>5.73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434</v>
      </c>
      <c r="B70" t="s">
        <v>435</v>
      </c>
      <c r="C70" t="s">
        <v>436</v>
      </c>
      <c r="D70" t="s">
        <v>437</v>
      </c>
      <c r="E70" t="s">
        <v>219</v>
      </c>
      <c r="F70">
        <v>3</v>
      </c>
      <c r="G70" s="22">
        <v>227.45098039215691</v>
      </c>
      <c r="H70" s="22">
        <v>431.76470588235293</v>
      </c>
      <c r="I70">
        <v>5.73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438</v>
      </c>
      <c r="B71" t="s">
        <v>173</v>
      </c>
      <c r="C71" t="s">
        <v>439</v>
      </c>
      <c r="D71" t="s">
        <v>440</v>
      </c>
      <c r="E71" t="s">
        <v>290</v>
      </c>
      <c r="F71">
        <v>3.5</v>
      </c>
      <c r="G71" s="22">
        <v>227.45098039215691</v>
      </c>
      <c r="H71" s="22">
        <v>431.76470588235293</v>
      </c>
      <c r="I71">
        <v>5.73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441</v>
      </c>
      <c r="B72" t="s">
        <v>174</v>
      </c>
      <c r="C72" t="s">
        <v>442</v>
      </c>
      <c r="D72" t="s">
        <v>440</v>
      </c>
      <c r="E72" t="s">
        <v>290</v>
      </c>
      <c r="F72">
        <v>3.4</v>
      </c>
      <c r="G72" s="22">
        <v>227.45098039215691</v>
      </c>
      <c r="H72" s="22">
        <v>431.76470588235293</v>
      </c>
      <c r="I72">
        <v>5.73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443</v>
      </c>
      <c r="B73" t="s">
        <v>444</v>
      </c>
      <c r="C73" t="s">
        <v>445</v>
      </c>
      <c r="D73" t="s">
        <v>440</v>
      </c>
      <c r="E73" t="s">
        <v>290</v>
      </c>
      <c r="F73">
        <v>3.4</v>
      </c>
      <c r="G73" s="22">
        <v>227.45098039215691</v>
      </c>
      <c r="H73" s="22">
        <v>431.76470588235293</v>
      </c>
      <c r="I73">
        <v>5.73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446</v>
      </c>
      <c r="B74" t="s">
        <v>447</v>
      </c>
      <c r="C74" t="s">
        <v>448</v>
      </c>
      <c r="D74" t="s">
        <v>440</v>
      </c>
      <c r="E74" t="s">
        <v>210</v>
      </c>
      <c r="F74">
        <v>4.0999999999999996</v>
      </c>
      <c r="G74" s="22">
        <v>227.45098039215691</v>
      </c>
      <c r="H74" s="22">
        <v>431.76470588235293</v>
      </c>
      <c r="I74">
        <v>5.73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</row>
    <row r="75" spans="1:15" x14ac:dyDescent="0.25">
      <c r="A75" t="s">
        <v>449</v>
      </c>
      <c r="B75" t="s">
        <v>450</v>
      </c>
      <c r="C75" t="s">
        <v>451</v>
      </c>
      <c r="D75" t="s">
        <v>440</v>
      </c>
      <c r="E75" t="s">
        <v>210</v>
      </c>
      <c r="F75">
        <v>4.0999999999999996</v>
      </c>
      <c r="G75" s="22">
        <v>227.45098039215691</v>
      </c>
      <c r="H75" s="22">
        <v>431.76470588235293</v>
      </c>
      <c r="I75">
        <v>5.73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</row>
    <row r="76" spans="1:15" x14ac:dyDescent="0.25">
      <c r="A76" t="s">
        <v>452</v>
      </c>
      <c r="B76" s="21" t="s">
        <v>185</v>
      </c>
      <c r="C76" s="21" t="s">
        <v>453</v>
      </c>
      <c r="D76" t="s">
        <v>440</v>
      </c>
      <c r="E76" t="s">
        <v>219</v>
      </c>
      <c r="F76">
        <v>3.2</v>
      </c>
      <c r="G76" s="22">
        <v>227.45098039215691</v>
      </c>
      <c r="H76" s="22">
        <v>431.76470588235293</v>
      </c>
      <c r="I76">
        <v>5.73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</row>
    <row r="77" spans="1:15" x14ac:dyDescent="0.25">
      <c r="A77" t="s">
        <v>454</v>
      </c>
      <c r="B77" t="s">
        <v>175</v>
      </c>
      <c r="C77" t="s">
        <v>455</v>
      </c>
      <c r="D77" t="s">
        <v>440</v>
      </c>
      <c r="E77" t="s">
        <v>219</v>
      </c>
      <c r="F77">
        <v>3.4</v>
      </c>
      <c r="G77" s="22">
        <v>227.45098039215691</v>
      </c>
      <c r="H77" s="22">
        <v>431.76470588235293</v>
      </c>
      <c r="I77">
        <v>5.73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</row>
    <row r="78" spans="1:15" x14ac:dyDescent="0.25">
      <c r="A78" t="s">
        <v>456</v>
      </c>
      <c r="B78" t="s">
        <v>457</v>
      </c>
      <c r="C78" t="s">
        <v>458</v>
      </c>
      <c r="D78" t="s">
        <v>440</v>
      </c>
      <c r="E78" t="s">
        <v>219</v>
      </c>
      <c r="F78">
        <v>3.1</v>
      </c>
      <c r="G78" s="22">
        <v>227.45098039215691</v>
      </c>
      <c r="H78" s="22">
        <v>431.76470588235293</v>
      </c>
      <c r="I78">
        <v>5.73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</row>
    <row r="79" spans="1:15" x14ac:dyDescent="0.25">
      <c r="A79" t="s">
        <v>459</v>
      </c>
      <c r="B79" t="s">
        <v>176</v>
      </c>
      <c r="C79" t="s">
        <v>460</v>
      </c>
      <c r="D79" t="s">
        <v>461</v>
      </c>
      <c r="E79" t="s">
        <v>280</v>
      </c>
      <c r="F79">
        <v>2.5</v>
      </c>
      <c r="G79" s="22">
        <v>227.45098039215691</v>
      </c>
      <c r="H79" s="22">
        <v>431.76470588235293</v>
      </c>
      <c r="I79">
        <v>5.73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462</v>
      </c>
      <c r="B80" t="s">
        <v>177</v>
      </c>
      <c r="C80" t="s">
        <v>463</v>
      </c>
      <c r="D80" t="s">
        <v>461</v>
      </c>
      <c r="E80" t="s">
        <v>280</v>
      </c>
      <c r="F80">
        <v>2.5</v>
      </c>
      <c r="G80" s="22">
        <v>227.45098039215691</v>
      </c>
      <c r="H80" s="22">
        <v>431.76470588235293</v>
      </c>
      <c r="I80">
        <v>5.73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464</v>
      </c>
      <c r="B81" t="s">
        <v>178</v>
      </c>
      <c r="C81" t="s">
        <v>465</v>
      </c>
      <c r="D81" t="s">
        <v>461</v>
      </c>
      <c r="E81" t="s">
        <v>466</v>
      </c>
      <c r="F81">
        <v>2.2000000000000002</v>
      </c>
      <c r="G81" s="22">
        <v>227.45098039215691</v>
      </c>
      <c r="H81" s="22">
        <v>431.76470588235293</v>
      </c>
      <c r="I81">
        <v>5.73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</row>
    <row r="82" spans="1:15" x14ac:dyDescent="0.25">
      <c r="A82" t="s">
        <v>467</v>
      </c>
      <c r="B82" t="s">
        <v>179</v>
      </c>
      <c r="C82" t="s">
        <v>468</v>
      </c>
      <c r="D82" t="s">
        <v>469</v>
      </c>
      <c r="E82" t="s">
        <v>280</v>
      </c>
      <c r="F82">
        <v>3</v>
      </c>
      <c r="G82" s="22">
        <v>227.45098039215691</v>
      </c>
      <c r="H82" s="22">
        <v>431.76470588235293</v>
      </c>
      <c r="I82">
        <v>5.73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470</v>
      </c>
      <c r="B83" t="s">
        <v>180</v>
      </c>
      <c r="C83" t="s">
        <v>471</v>
      </c>
      <c r="D83" t="s">
        <v>469</v>
      </c>
      <c r="E83" t="s">
        <v>210</v>
      </c>
      <c r="F83">
        <v>4</v>
      </c>
      <c r="G83" s="22">
        <v>227.45098039215691</v>
      </c>
      <c r="H83" s="22">
        <v>431.76470588235293</v>
      </c>
      <c r="I83">
        <v>5.73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</row>
    <row r="84" spans="1:15" x14ac:dyDescent="0.25">
      <c r="A84" t="s">
        <v>472</v>
      </c>
      <c r="B84" t="s">
        <v>181</v>
      </c>
      <c r="C84" t="s">
        <v>473</v>
      </c>
      <c r="D84" t="s">
        <v>474</v>
      </c>
      <c r="E84" t="s">
        <v>219</v>
      </c>
      <c r="F84">
        <v>3.3</v>
      </c>
      <c r="G84" s="22">
        <v>227.45098039215691</v>
      </c>
      <c r="H84" s="22">
        <v>431.76470588235293</v>
      </c>
      <c r="I84">
        <v>5.73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</row>
    <row r="85" spans="1:15" x14ac:dyDescent="0.25">
      <c r="A85" t="s">
        <v>475</v>
      </c>
      <c r="B85" t="s">
        <v>476</v>
      </c>
      <c r="C85" t="s">
        <v>477</v>
      </c>
      <c r="D85" t="s">
        <v>478</v>
      </c>
      <c r="E85" t="s">
        <v>210</v>
      </c>
      <c r="F85">
        <v>4.5</v>
      </c>
      <c r="G85" s="22">
        <v>227.45098039215691</v>
      </c>
      <c r="H85" s="22">
        <v>431.76470588235293</v>
      </c>
      <c r="I85">
        <v>5.73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</row>
    <row r="86" spans="1:15" x14ac:dyDescent="0.25">
      <c r="A86" t="s">
        <v>479</v>
      </c>
      <c r="B86" t="s">
        <v>480</v>
      </c>
      <c r="C86" t="s">
        <v>481</v>
      </c>
      <c r="D86" t="s">
        <v>482</v>
      </c>
      <c r="E86" t="s">
        <v>206</v>
      </c>
      <c r="F86">
        <v>3.2</v>
      </c>
      <c r="G86" s="22">
        <v>227.45098039215691</v>
      </c>
      <c r="H86" s="22">
        <v>431.76470588235293</v>
      </c>
      <c r="I86">
        <v>5.73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</row>
    <row r="87" spans="1:15" x14ac:dyDescent="0.25">
      <c r="A87" t="s">
        <v>483</v>
      </c>
      <c r="B87" t="s">
        <v>484</v>
      </c>
      <c r="C87" t="s">
        <v>485</v>
      </c>
      <c r="D87" t="s">
        <v>486</v>
      </c>
      <c r="E87" t="s">
        <v>206</v>
      </c>
      <c r="F87">
        <v>3.1</v>
      </c>
      <c r="G87" s="22">
        <v>227.45098039215691</v>
      </c>
      <c r="H87" s="22">
        <v>431.76470588235293</v>
      </c>
      <c r="I87">
        <v>5.73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</row>
    <row r="88" spans="1:15" x14ac:dyDescent="0.25">
      <c r="A88" t="s">
        <v>487</v>
      </c>
      <c r="B88" s="21" t="s">
        <v>493</v>
      </c>
      <c r="C88" t="s">
        <v>488</v>
      </c>
      <c r="D88" t="s">
        <v>489</v>
      </c>
      <c r="E88" t="s">
        <v>206</v>
      </c>
      <c r="F88">
        <v>3.1</v>
      </c>
      <c r="G88" s="22">
        <v>227.45098039215691</v>
      </c>
      <c r="H88" s="22">
        <v>431.76470588235293</v>
      </c>
      <c r="I88">
        <v>5.73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CC06-58DB-4200-9E1D-14AA2892F68C}">
  <dimension ref="A1:G43"/>
  <sheetViews>
    <sheetView zoomScaleNormal="100" workbookViewId="0">
      <selection activeCell="F1" sqref="F1:G1"/>
    </sheetView>
  </sheetViews>
  <sheetFormatPr baseColWidth="10" defaultRowHeight="15" x14ac:dyDescent="0.25"/>
  <cols>
    <col min="1" max="1" width="8.42578125" customWidth="1"/>
    <col min="2" max="2" width="20.85546875" bestFit="1" customWidth="1"/>
    <col min="3" max="3" width="15.42578125" customWidth="1"/>
    <col min="4" max="4" width="14.140625" customWidth="1"/>
    <col min="5" max="5" width="8.5703125" bestFit="1" customWidth="1"/>
    <col min="6" max="6" width="10.5703125" bestFit="1" customWidth="1"/>
    <col min="7" max="7" width="9" bestFit="1" customWidth="1"/>
  </cols>
  <sheetData>
    <row r="1" spans="1:7" ht="15.75" x14ac:dyDescent="0.25">
      <c r="A1" s="14" t="s">
        <v>89</v>
      </c>
      <c r="B1" s="14" t="s">
        <v>90</v>
      </c>
      <c r="C1" s="14" t="s">
        <v>91</v>
      </c>
      <c r="D1" s="14" t="s">
        <v>92</v>
      </c>
      <c r="E1" s="14" t="s">
        <v>93</v>
      </c>
      <c r="F1" s="14" t="s">
        <v>94</v>
      </c>
      <c r="G1" s="14" t="s">
        <v>95</v>
      </c>
    </row>
    <row r="2" spans="1:7" ht="15.75" x14ac:dyDescent="0.25">
      <c r="A2" s="15" t="s">
        <v>38</v>
      </c>
      <c r="B2" s="15" t="s">
        <v>96</v>
      </c>
      <c r="C2" s="15" t="s">
        <v>80</v>
      </c>
      <c r="D2" s="16">
        <v>36850</v>
      </c>
      <c r="E2" s="15">
        <v>773</v>
      </c>
      <c r="F2" s="17">
        <v>-99.183333300000001</v>
      </c>
      <c r="G2" s="17">
        <v>23.586666666999999</v>
      </c>
    </row>
    <row r="3" spans="1:7" ht="15.75" x14ac:dyDescent="0.25">
      <c r="A3" s="15" t="s">
        <v>50</v>
      </c>
      <c r="B3" s="15" t="s">
        <v>97</v>
      </c>
      <c r="C3" s="15" t="s">
        <v>80</v>
      </c>
      <c r="D3" s="16">
        <v>36604</v>
      </c>
      <c r="E3" s="15">
        <v>289</v>
      </c>
      <c r="F3" s="17">
        <v>-98.593888899999996</v>
      </c>
      <c r="G3" s="17">
        <v>23.575277778</v>
      </c>
    </row>
    <row r="4" spans="1:7" ht="15.75" x14ac:dyDescent="0.25">
      <c r="A4" s="15" t="s">
        <v>53</v>
      </c>
      <c r="B4" s="15" t="s">
        <v>98</v>
      </c>
      <c r="C4" s="15" t="s">
        <v>86</v>
      </c>
      <c r="D4" s="16">
        <v>36289</v>
      </c>
      <c r="E4" s="15">
        <v>409</v>
      </c>
      <c r="F4" s="17">
        <v>-99.365833300000006</v>
      </c>
      <c r="G4" s="17">
        <v>23.990555556</v>
      </c>
    </row>
    <row r="5" spans="1:7" ht="31.5" x14ac:dyDescent="0.25">
      <c r="A5" s="15" t="s">
        <v>56</v>
      </c>
      <c r="B5" s="15" t="s">
        <v>99</v>
      </c>
      <c r="C5" s="15" t="s">
        <v>86</v>
      </c>
      <c r="D5" s="16">
        <v>36603</v>
      </c>
      <c r="E5" s="15">
        <v>314</v>
      </c>
      <c r="F5" s="17">
        <v>-99.302222200000003</v>
      </c>
      <c r="G5" s="17">
        <v>23.923055556000001</v>
      </c>
    </row>
    <row r="6" spans="1:7" ht="31.5" x14ac:dyDescent="0.25">
      <c r="A6" s="15" t="s">
        <v>72</v>
      </c>
      <c r="B6" s="15" t="s">
        <v>102</v>
      </c>
      <c r="C6" s="15" t="s">
        <v>86</v>
      </c>
      <c r="D6" s="15" t="s">
        <v>103</v>
      </c>
      <c r="E6" s="15">
        <v>261</v>
      </c>
      <c r="F6" s="17">
        <v>-99.287777800000001</v>
      </c>
      <c r="G6" s="17">
        <v>24.006666667000001</v>
      </c>
    </row>
    <row r="7" spans="1:7" ht="15.75" x14ac:dyDescent="0.25">
      <c r="A7" s="15" t="s">
        <v>51</v>
      </c>
      <c r="B7" s="15" t="s">
        <v>106</v>
      </c>
      <c r="C7" s="15" t="s">
        <v>107</v>
      </c>
      <c r="D7" s="16">
        <v>36611</v>
      </c>
      <c r="E7" s="15">
        <v>386</v>
      </c>
      <c r="F7" s="17">
        <v>-99.497500000000002</v>
      </c>
      <c r="G7" s="17">
        <v>24.479166667000001</v>
      </c>
    </row>
    <row r="8" spans="1:7" ht="31.5" x14ac:dyDescent="0.25">
      <c r="A8" s="15" t="s">
        <v>108</v>
      </c>
      <c r="B8" s="15" t="s">
        <v>109</v>
      </c>
      <c r="C8" s="15" t="s">
        <v>107</v>
      </c>
      <c r="D8" s="16">
        <v>36660</v>
      </c>
      <c r="E8" s="15">
        <v>745</v>
      </c>
      <c r="F8" s="17">
        <v>-99.683333300000001</v>
      </c>
      <c r="G8" s="17">
        <v>24.525277778</v>
      </c>
    </row>
    <row r="9" spans="1:7" ht="15.75" x14ac:dyDescent="0.25">
      <c r="A9" s="15" t="s">
        <v>55</v>
      </c>
      <c r="B9" s="15" t="s">
        <v>110</v>
      </c>
      <c r="C9" s="15" t="s">
        <v>107</v>
      </c>
      <c r="D9" s="16">
        <v>36611</v>
      </c>
      <c r="E9" s="15">
        <v>315</v>
      </c>
      <c r="F9" s="17">
        <v>-99.384166699999994</v>
      </c>
      <c r="G9" s="17">
        <v>24.512499999999999</v>
      </c>
    </row>
    <row r="10" spans="1:7" ht="31.5" x14ac:dyDescent="0.25">
      <c r="A10" s="15" t="s">
        <v>59</v>
      </c>
      <c r="B10" s="15" t="s">
        <v>111</v>
      </c>
      <c r="C10" s="15" t="s">
        <v>107</v>
      </c>
      <c r="D10" s="16">
        <v>36722</v>
      </c>
      <c r="E10" s="15">
        <v>253</v>
      </c>
      <c r="F10" s="17">
        <v>-99.267499999999998</v>
      </c>
      <c r="G10" s="17">
        <v>24.414999999999999</v>
      </c>
    </row>
    <row r="11" spans="1:7" ht="15.75" x14ac:dyDescent="0.25">
      <c r="A11" s="15" t="s">
        <v>37</v>
      </c>
      <c r="B11" s="15" t="s">
        <v>114</v>
      </c>
      <c r="C11" s="15" t="s">
        <v>79</v>
      </c>
      <c r="D11" s="16">
        <v>36706</v>
      </c>
      <c r="E11" s="15">
        <v>455</v>
      </c>
      <c r="F11" s="17">
        <v>-99.464166700000007</v>
      </c>
      <c r="G11" s="17">
        <v>24.132777778000001</v>
      </c>
    </row>
    <row r="12" spans="1:7" ht="15.75" x14ac:dyDescent="0.25">
      <c r="A12" s="15" t="s">
        <v>48</v>
      </c>
      <c r="B12" s="15" t="s">
        <v>115</v>
      </c>
      <c r="C12" s="15" t="s">
        <v>79</v>
      </c>
      <c r="D12" s="16">
        <v>36723</v>
      </c>
      <c r="E12" s="15">
        <v>515</v>
      </c>
      <c r="F12" s="17">
        <v>-99.570833300000004</v>
      </c>
      <c r="G12" s="17">
        <v>24.35</v>
      </c>
    </row>
    <row r="13" spans="1:7" ht="15.75" x14ac:dyDescent="0.25">
      <c r="A13" s="15" t="s">
        <v>62</v>
      </c>
      <c r="B13" s="15" t="s">
        <v>117</v>
      </c>
      <c r="C13" s="15" t="s">
        <v>79</v>
      </c>
      <c r="D13" s="16">
        <v>36575</v>
      </c>
      <c r="E13" s="15">
        <v>210</v>
      </c>
      <c r="F13" s="17">
        <v>-99.184444400000004</v>
      </c>
      <c r="G13" s="17">
        <v>24.09</v>
      </c>
    </row>
    <row r="14" spans="1:7" ht="15.75" x14ac:dyDescent="0.25">
      <c r="A14" s="15" t="s">
        <v>43</v>
      </c>
      <c r="B14" s="15" t="s">
        <v>120</v>
      </c>
      <c r="C14" s="15" t="s">
        <v>83</v>
      </c>
      <c r="D14" s="16">
        <v>36834</v>
      </c>
      <c r="E14" s="15">
        <v>509</v>
      </c>
      <c r="F14" s="17">
        <v>-98.982222199999995</v>
      </c>
      <c r="G14" s="17">
        <v>24.628333333</v>
      </c>
    </row>
    <row r="15" spans="1:7" ht="15.75" x14ac:dyDescent="0.25">
      <c r="A15" s="15" t="s">
        <v>46</v>
      </c>
      <c r="B15" s="15" t="s">
        <v>121</v>
      </c>
      <c r="C15" s="15" t="s">
        <v>83</v>
      </c>
      <c r="D15" s="16">
        <v>36436</v>
      </c>
      <c r="E15" s="15">
        <v>447</v>
      </c>
      <c r="F15" s="17">
        <v>-98.944722200000001</v>
      </c>
      <c r="G15" s="17">
        <v>24.579166666999999</v>
      </c>
    </row>
    <row r="16" spans="1:7" ht="31.5" x14ac:dyDescent="0.25">
      <c r="A16" s="15" t="s">
        <v>39</v>
      </c>
      <c r="B16" s="15" t="s">
        <v>122</v>
      </c>
      <c r="C16" s="15" t="s">
        <v>81</v>
      </c>
      <c r="D16" s="15" t="s">
        <v>123</v>
      </c>
      <c r="E16" s="15">
        <v>594</v>
      </c>
      <c r="F16" s="17">
        <v>-99.2841667</v>
      </c>
      <c r="G16" s="17">
        <v>23.764722222</v>
      </c>
    </row>
    <row r="17" spans="1:7" ht="47.25" x14ac:dyDescent="0.25">
      <c r="A17" s="15" t="s">
        <v>40</v>
      </c>
      <c r="B17" s="15" t="s">
        <v>124</v>
      </c>
      <c r="C17" s="15" t="s">
        <v>81</v>
      </c>
      <c r="D17" s="15" t="s">
        <v>125</v>
      </c>
      <c r="E17" s="15">
        <v>444</v>
      </c>
      <c r="F17" s="17">
        <v>-99.238333299999994</v>
      </c>
      <c r="G17" s="17">
        <v>23.771944443999999</v>
      </c>
    </row>
    <row r="18" spans="1:7" ht="31.5" x14ac:dyDescent="0.25">
      <c r="A18" s="15" t="s">
        <v>41</v>
      </c>
      <c r="B18" s="15" t="s">
        <v>124</v>
      </c>
      <c r="C18" s="15" t="s">
        <v>81</v>
      </c>
      <c r="D18" s="15" t="s">
        <v>126</v>
      </c>
      <c r="E18" s="15">
        <v>632</v>
      </c>
      <c r="F18" s="17">
        <v>-99.281388899999996</v>
      </c>
      <c r="G18" s="17">
        <v>23.771944443999999</v>
      </c>
    </row>
    <row r="19" spans="1:7" ht="31.5" x14ac:dyDescent="0.25">
      <c r="A19" s="15" t="s">
        <v>47</v>
      </c>
      <c r="B19" s="15" t="s">
        <v>127</v>
      </c>
      <c r="C19" s="15" t="s">
        <v>81</v>
      </c>
      <c r="D19" s="15" t="s">
        <v>128</v>
      </c>
      <c r="E19" s="15">
        <v>337</v>
      </c>
      <c r="F19" s="17">
        <v>-99.194722200000001</v>
      </c>
      <c r="G19" s="17">
        <v>23.783333333000002</v>
      </c>
    </row>
    <row r="20" spans="1:7" ht="15.75" x14ac:dyDescent="0.25">
      <c r="A20" s="15" t="s">
        <v>57</v>
      </c>
      <c r="B20" s="15" t="s">
        <v>127</v>
      </c>
      <c r="C20" s="15" t="s">
        <v>81</v>
      </c>
      <c r="D20" s="16">
        <v>36204</v>
      </c>
      <c r="E20" s="15">
        <v>357</v>
      </c>
      <c r="F20" s="17">
        <v>-99.203333299999997</v>
      </c>
      <c r="G20" s="17">
        <v>23.779722222</v>
      </c>
    </row>
    <row r="21" spans="1:7" ht="15.75" x14ac:dyDescent="0.25">
      <c r="A21" s="15" t="s">
        <v>44</v>
      </c>
      <c r="B21" s="15" t="s">
        <v>129</v>
      </c>
      <c r="C21" s="15" t="s">
        <v>84</v>
      </c>
      <c r="D21" s="16">
        <v>36505</v>
      </c>
      <c r="E21" s="15">
        <v>520</v>
      </c>
      <c r="F21" s="17">
        <v>-99.222777800000003</v>
      </c>
      <c r="G21" s="17">
        <v>23.704722222000001</v>
      </c>
    </row>
    <row r="22" spans="1:7" ht="15.75" x14ac:dyDescent="0.25">
      <c r="A22" s="15" t="s">
        <v>45</v>
      </c>
      <c r="B22" s="15" t="s">
        <v>129</v>
      </c>
      <c r="C22" s="15" t="s">
        <v>84</v>
      </c>
      <c r="D22" s="16">
        <v>37192</v>
      </c>
      <c r="E22" s="15">
        <v>501</v>
      </c>
      <c r="F22" s="17">
        <v>-99.221944399999998</v>
      </c>
      <c r="G22" s="17">
        <v>23.703611111000001</v>
      </c>
    </row>
    <row r="23" spans="1:7" ht="31.5" x14ac:dyDescent="0.25">
      <c r="A23" s="15" t="s">
        <v>49</v>
      </c>
      <c r="B23" s="15" t="s">
        <v>129</v>
      </c>
      <c r="C23" s="15" t="s">
        <v>84</v>
      </c>
      <c r="D23" s="15" t="s">
        <v>130</v>
      </c>
      <c r="E23" s="15">
        <v>680</v>
      </c>
      <c r="F23" s="17">
        <v>-99.263888899999998</v>
      </c>
      <c r="G23" s="17">
        <v>23.723888889000001</v>
      </c>
    </row>
    <row r="24" spans="1:7" ht="15.75" x14ac:dyDescent="0.25">
      <c r="A24" s="15" t="s">
        <v>42</v>
      </c>
      <c r="B24" s="15" t="s">
        <v>131</v>
      </c>
      <c r="C24" s="15" t="s">
        <v>82</v>
      </c>
      <c r="D24" s="16">
        <v>36288</v>
      </c>
      <c r="E24" s="15">
        <v>530</v>
      </c>
      <c r="F24" s="17">
        <v>-99.298333299999996</v>
      </c>
      <c r="G24" s="17">
        <v>23.803055556</v>
      </c>
    </row>
    <row r="25" spans="1:7" ht="31.5" x14ac:dyDescent="0.25">
      <c r="A25" s="15" t="s">
        <v>64</v>
      </c>
      <c r="B25" s="15" t="s">
        <v>132</v>
      </c>
      <c r="C25" s="15" t="s">
        <v>82</v>
      </c>
      <c r="D25" s="15" t="s">
        <v>133</v>
      </c>
      <c r="E25" s="15">
        <v>205</v>
      </c>
      <c r="F25" s="17">
        <v>-99.114722200000003</v>
      </c>
      <c r="G25" s="17">
        <v>23.911388889000001</v>
      </c>
    </row>
    <row r="26" spans="1:7" ht="15.75" x14ac:dyDescent="0.25">
      <c r="A26" s="15" t="s">
        <v>54</v>
      </c>
      <c r="B26" s="15" t="s">
        <v>97</v>
      </c>
      <c r="C26" s="15" t="s">
        <v>80</v>
      </c>
      <c r="D26" s="16">
        <v>36835</v>
      </c>
      <c r="E26" s="15">
        <v>152</v>
      </c>
      <c r="F26" s="17">
        <v>-98.7191306</v>
      </c>
      <c r="G26" s="17">
        <v>23.725733333000001</v>
      </c>
    </row>
    <row r="27" spans="1:7" ht="31.5" x14ac:dyDescent="0.25">
      <c r="A27" s="15" t="s">
        <v>61</v>
      </c>
      <c r="B27" s="15" t="s">
        <v>100</v>
      </c>
      <c r="C27" s="15" t="s">
        <v>86</v>
      </c>
      <c r="D27" s="16">
        <v>36604</v>
      </c>
      <c r="E27" s="15">
        <v>185</v>
      </c>
      <c r="F27" s="17">
        <v>-99.107222199999995</v>
      </c>
      <c r="G27" s="17">
        <v>23.9725</v>
      </c>
    </row>
    <row r="28" spans="1:7" ht="15.75" x14ac:dyDescent="0.25">
      <c r="A28" s="15" t="s">
        <v>71</v>
      </c>
      <c r="B28" s="15" t="s">
        <v>101</v>
      </c>
      <c r="C28" s="15" t="s">
        <v>86</v>
      </c>
      <c r="D28" s="16">
        <v>36590</v>
      </c>
      <c r="E28" s="15">
        <v>154</v>
      </c>
      <c r="F28" s="17">
        <v>-98.938055599999998</v>
      </c>
      <c r="G28" s="17">
        <v>23.94</v>
      </c>
    </row>
    <row r="29" spans="1:7" ht="15.75" x14ac:dyDescent="0.25">
      <c r="A29" s="15" t="s">
        <v>73</v>
      </c>
      <c r="B29" s="15" t="s">
        <v>104</v>
      </c>
      <c r="C29" s="15" t="s">
        <v>88</v>
      </c>
      <c r="D29" s="16">
        <v>36968</v>
      </c>
      <c r="E29" s="15">
        <v>58</v>
      </c>
      <c r="F29" s="17">
        <v>-98.027500000000003</v>
      </c>
      <c r="G29" s="17">
        <v>23.473888889000001</v>
      </c>
    </row>
    <row r="30" spans="1:7" ht="15.75" x14ac:dyDescent="0.25">
      <c r="A30" s="15" t="s">
        <v>76</v>
      </c>
      <c r="B30" s="15" t="s">
        <v>105</v>
      </c>
      <c r="C30" s="15" t="s">
        <v>88</v>
      </c>
      <c r="D30" s="16">
        <v>37017</v>
      </c>
      <c r="E30" s="15">
        <v>11</v>
      </c>
      <c r="F30" s="17">
        <v>-98.069722200000001</v>
      </c>
      <c r="G30" s="17">
        <v>23.659444443999998</v>
      </c>
    </row>
    <row r="31" spans="1:7" ht="15.75" x14ac:dyDescent="0.25">
      <c r="A31" s="15" t="s">
        <v>65</v>
      </c>
      <c r="B31" s="15" t="s">
        <v>112</v>
      </c>
      <c r="C31" s="15" t="s">
        <v>107</v>
      </c>
      <c r="D31" s="16">
        <v>36673</v>
      </c>
      <c r="E31" s="15">
        <v>171</v>
      </c>
      <c r="F31" s="17">
        <v>-99.016666700000002</v>
      </c>
      <c r="G31" s="17">
        <v>24.213055556</v>
      </c>
    </row>
    <row r="32" spans="1:7" ht="15.75" x14ac:dyDescent="0.25">
      <c r="A32" s="15" t="s">
        <v>66</v>
      </c>
      <c r="B32" s="15" t="s">
        <v>113</v>
      </c>
      <c r="C32" s="15" t="s">
        <v>107</v>
      </c>
      <c r="D32" s="16">
        <v>36673</v>
      </c>
      <c r="E32" s="15">
        <v>141</v>
      </c>
      <c r="F32" s="17">
        <v>-98.8636111</v>
      </c>
      <c r="G32" s="17">
        <v>24.100833333000001</v>
      </c>
    </row>
    <row r="33" spans="1:7" ht="15.75" x14ac:dyDescent="0.25">
      <c r="A33" s="15" t="s">
        <v>58</v>
      </c>
      <c r="B33" s="15" t="s">
        <v>116</v>
      </c>
      <c r="C33" s="15" t="s">
        <v>79</v>
      </c>
      <c r="D33" s="16">
        <v>36561</v>
      </c>
      <c r="E33" s="15">
        <v>178</v>
      </c>
      <c r="F33" s="17">
        <v>-99.038888900000003</v>
      </c>
      <c r="G33" s="17">
        <v>24.063888889000001</v>
      </c>
    </row>
    <row r="34" spans="1:7" ht="15.75" x14ac:dyDescent="0.25">
      <c r="A34" s="15" t="s">
        <v>68</v>
      </c>
      <c r="B34" s="15" t="s">
        <v>118</v>
      </c>
      <c r="C34" s="15" t="s">
        <v>79</v>
      </c>
      <c r="D34" s="16">
        <v>36266</v>
      </c>
      <c r="E34" s="15">
        <v>195</v>
      </c>
      <c r="F34" s="17">
        <v>-99.121666700000006</v>
      </c>
      <c r="G34" s="17">
        <v>24.113888888999998</v>
      </c>
    </row>
    <row r="35" spans="1:7" ht="15.75" x14ac:dyDescent="0.25">
      <c r="A35" s="15" t="s">
        <v>69</v>
      </c>
      <c r="B35" s="15" t="s">
        <v>119</v>
      </c>
      <c r="C35" s="15" t="s">
        <v>79</v>
      </c>
      <c r="D35" s="16">
        <v>36307</v>
      </c>
      <c r="E35" s="15">
        <v>193</v>
      </c>
      <c r="F35" s="17">
        <v>-99.125</v>
      </c>
      <c r="G35" s="17">
        <v>24.077777778000002</v>
      </c>
    </row>
    <row r="36" spans="1:7" ht="15.75" x14ac:dyDescent="0.25">
      <c r="A36" s="15" t="s">
        <v>70</v>
      </c>
      <c r="B36" s="15" t="s">
        <v>118</v>
      </c>
      <c r="C36" s="15" t="s">
        <v>79</v>
      </c>
      <c r="D36" s="16">
        <v>36575</v>
      </c>
      <c r="E36" s="15">
        <v>154</v>
      </c>
      <c r="F36" s="17">
        <v>-98.900277799999998</v>
      </c>
      <c r="G36" s="17">
        <v>24.043888889000002</v>
      </c>
    </row>
    <row r="37" spans="1:7" ht="15.75" x14ac:dyDescent="0.25">
      <c r="A37" s="15" t="s">
        <v>63</v>
      </c>
      <c r="B37" s="15" t="s">
        <v>121</v>
      </c>
      <c r="C37" s="15" t="s">
        <v>83</v>
      </c>
      <c r="D37" s="16">
        <v>36834</v>
      </c>
      <c r="E37" s="15">
        <v>175</v>
      </c>
      <c r="F37" s="17">
        <v>-98.816666699999999</v>
      </c>
      <c r="G37" s="17">
        <v>24.178888889</v>
      </c>
    </row>
    <row r="38" spans="1:7" ht="15.75" x14ac:dyDescent="0.25">
      <c r="A38" s="15" t="s">
        <v>60</v>
      </c>
      <c r="B38" s="15" t="s">
        <v>101</v>
      </c>
      <c r="C38" s="15" t="s">
        <v>82</v>
      </c>
      <c r="D38" s="16">
        <v>36547</v>
      </c>
      <c r="E38" s="15">
        <v>159</v>
      </c>
      <c r="F38" s="17">
        <v>-98.976944399999994</v>
      </c>
      <c r="G38" s="17">
        <v>23.943611110999999</v>
      </c>
    </row>
    <row r="39" spans="1:7" ht="15.75" x14ac:dyDescent="0.25">
      <c r="A39" s="15" t="s">
        <v>67</v>
      </c>
      <c r="B39" s="15" t="s">
        <v>134</v>
      </c>
      <c r="C39" s="15" t="s">
        <v>87</v>
      </c>
      <c r="D39" s="16">
        <v>36673</v>
      </c>
      <c r="E39" s="15">
        <v>147</v>
      </c>
      <c r="F39" s="17">
        <v>-98.657499999999999</v>
      </c>
      <c r="G39" s="17">
        <v>23.959722222</v>
      </c>
    </row>
    <row r="40" spans="1:7" ht="15.75" x14ac:dyDescent="0.25">
      <c r="A40" s="15" t="s">
        <v>74</v>
      </c>
      <c r="B40" s="15" t="s">
        <v>135</v>
      </c>
      <c r="C40" s="15" t="s">
        <v>87</v>
      </c>
      <c r="D40" s="16">
        <v>36785</v>
      </c>
      <c r="E40" s="15">
        <v>40</v>
      </c>
      <c r="F40" s="17">
        <v>-98.311111100000005</v>
      </c>
      <c r="G40" s="17">
        <v>24.026944444000002</v>
      </c>
    </row>
    <row r="41" spans="1:7" ht="15.75" x14ac:dyDescent="0.25">
      <c r="A41" s="15" t="s">
        <v>75</v>
      </c>
      <c r="B41" s="15" t="s">
        <v>136</v>
      </c>
      <c r="C41" s="15" t="s">
        <v>87</v>
      </c>
      <c r="D41" s="16">
        <v>36786</v>
      </c>
      <c r="E41" s="15">
        <v>17</v>
      </c>
      <c r="F41" s="17">
        <v>-98.218888899999996</v>
      </c>
      <c r="G41" s="17">
        <v>23.780277777999999</v>
      </c>
    </row>
    <row r="42" spans="1:7" ht="31.5" x14ac:dyDescent="0.25">
      <c r="A42" s="15" t="s">
        <v>77</v>
      </c>
      <c r="B42" s="15" t="s">
        <v>137</v>
      </c>
      <c r="C42" s="15" t="s">
        <v>87</v>
      </c>
      <c r="D42" s="15" t="s">
        <v>138</v>
      </c>
      <c r="E42" s="15">
        <v>7</v>
      </c>
      <c r="F42" s="17">
        <v>-97.908611100000002</v>
      </c>
      <c r="G42" s="17">
        <v>23.797777778</v>
      </c>
    </row>
    <row r="43" spans="1:7" ht="15.75" x14ac:dyDescent="0.25">
      <c r="A43" s="15" t="s">
        <v>78</v>
      </c>
      <c r="B43" s="15" t="s">
        <v>139</v>
      </c>
      <c r="C43" s="15" t="s">
        <v>87</v>
      </c>
      <c r="D43" s="16">
        <v>36449</v>
      </c>
      <c r="E43" s="15">
        <v>2</v>
      </c>
      <c r="F43" s="17">
        <v>-97.736666700000001</v>
      </c>
      <c r="G43" s="17">
        <v>23.773888888999998</v>
      </c>
    </row>
  </sheetData>
  <autoFilter ref="A1:G1" xr:uid="{AD0BCC06-58DB-4200-9E1D-14AA2892F6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amb</vt:lpstr>
      <vt:lpstr>tax</vt:lpstr>
      <vt:lpstr>tax1</vt:lpstr>
      <vt:lpstr>rasgos</vt:lpstr>
      <vt:lpstr>coord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Javier Rodriguez Barrios</cp:lastModifiedBy>
  <dcterms:created xsi:type="dcterms:W3CDTF">2015-06-05T18:19:34Z</dcterms:created>
  <dcterms:modified xsi:type="dcterms:W3CDTF">2025-11-12T15:17:48Z</dcterms:modified>
</cp:coreProperties>
</file>